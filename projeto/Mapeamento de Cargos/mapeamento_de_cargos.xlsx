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felipe_duarte_rockwellautomation_com/Documents/Documents/Pessoal/MestradoIPT/Big Data e Analytics/"/>
    </mc:Choice>
  </mc:AlternateContent>
  <xr:revisionPtr revIDLastSave="45" documentId="8_{99EFAE34-3F58-4CDF-B55C-461B12121A44}" xr6:coauthVersionLast="47" xr6:coauthVersionMax="47" xr10:uidLastSave="{347EE60B-C541-443D-8C0D-439E6FD24CEF}"/>
  <bookViews>
    <workbookView xWindow="-108" yWindow="-108" windowWidth="23256" windowHeight="12456" xr2:uid="{E69A1767-AB90-4860-87AB-1B274DC281EF}"/>
  </bookViews>
  <sheets>
    <sheet name="depara_tjrn_duas_coluna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2" l="1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10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" i="2"/>
  <c r="B2" i="2"/>
  <c r="B3" i="2"/>
  <c r="B4" i="2"/>
  <c r="B5" i="2"/>
  <c r="B6" i="2"/>
  <c r="B7" i="2"/>
  <c r="B8" i="2"/>
  <c r="B9" i="2"/>
  <c r="B1" i="2"/>
</calcChain>
</file>

<file path=xl/sharedStrings.xml><?xml version="1.0" encoding="utf-8"?>
<sst xmlns="http://schemas.openxmlformats.org/spreadsheetml/2006/main" count="833" uniqueCount="527">
  <si>
    <t>Cargos Normalizados</t>
  </si>
  <si>
    <t>TJRN</t>
  </si>
  <si>
    <t>TJRO</t>
  </si>
  <si>
    <t>Cargo original</t>
  </si>
  <si>
    <t>Mapeado para</t>
  </si>
  <si>
    <t>Cargo Original</t>
  </si>
  <si>
    <t>ANALISTA</t>
  </si>
  <si>
    <t>ANALISTA JUDICIÁRIO - ESPECIALIDADE DIREITO</t>
  </si>
  <si>
    <t>TÉCNICO (A) JUDICIÁRIO (A)</t>
  </si>
  <si>
    <t>TÉCNICO</t>
  </si>
  <si>
    <t>MAGISTRADO</t>
  </si>
  <si>
    <t>JUIZ DE DIREITO DA CLASSE FINAL</t>
  </si>
  <si>
    <t>ADMINISTRADOR (A)</t>
  </si>
  <si>
    <t>OFICIAL DE JUSTIÇA</t>
  </si>
  <si>
    <t>OFICIAL DE JUSTIÇA - DIREITO</t>
  </si>
  <si>
    <t>ANALISTA JUDICIÁRIO</t>
  </si>
  <si>
    <t>ASSESSORIA/COMISSIONADO</t>
  </si>
  <si>
    <t>CARGO REQUISITADO</t>
  </si>
  <si>
    <t>AGENTE DE SEGURANÇA</t>
  </si>
  <si>
    <t>SEGURANÇA</t>
  </si>
  <si>
    <t>ESTAGIÁRIO</t>
  </si>
  <si>
    <t>ESTAGIÁRIO-GRADUAÇÃO - 20HORAS</t>
  </si>
  <si>
    <t>PSICÓLOGO (A)</t>
  </si>
  <si>
    <t>SAÚDE/PSICOSSOCIAL</t>
  </si>
  <si>
    <t>ESTAGIÁRIO PÓS GRADUAÇÃO - 30 HORAS</t>
  </si>
  <si>
    <t>AGENTE JUDICIÁRIO - CONTADOR</t>
  </si>
  <si>
    <t>ESCRIVÃO</t>
  </si>
  <si>
    <t>TÉCNICO JUDICIÁRIO - NM - ÁREA JUDICIÁRIA</t>
  </si>
  <si>
    <t>JUIZ (A) DE DIREITO DA 3ª ENTRÂNCIA</t>
  </si>
  <si>
    <t>AUXILIAR/OPERACIONAL</t>
  </si>
  <si>
    <t>ANALISTA JUDICIÁRIO - SEM ESPECIALIDADE - PJ-NS-J-</t>
  </si>
  <si>
    <t>OFICIAL DE GABINETE DE DESEMBARGADOR</t>
  </si>
  <si>
    <t>ASSISTENTE DE GABINETE DE JUIZ</t>
  </si>
  <si>
    <t>MATEMÁTICO (A)</t>
  </si>
  <si>
    <t>ASSESSOR DE GABINETE DE JUIZ</t>
  </si>
  <si>
    <t>SERVIÇOS GERAIS</t>
  </si>
  <si>
    <t>OUTROS</t>
  </si>
  <si>
    <t>ESC. 3ª ENT. TERMO SEDE</t>
  </si>
  <si>
    <t>ESTAGIÁRIO NÍVEL MÉDIO - 20 HORAS</t>
  </si>
  <si>
    <t>TÉCNICO JUDICIÁRIO - ASSISTENTE SOCIAL</t>
  </si>
  <si>
    <t>CHEFE DE SUBSEÇÃO</t>
  </si>
  <si>
    <t>OFICIAL DE GABINETE</t>
  </si>
  <si>
    <t>ESTAGIÁRIO CONCILIADOR - 20 HORAS</t>
  </si>
  <si>
    <t>AUXILIAR JUDICIÁRIO</t>
  </si>
  <si>
    <t>CHEFE DE SETOR</t>
  </si>
  <si>
    <t>DESEMBARGADOR</t>
  </si>
  <si>
    <t>CHEFE DE SEÇÃO</t>
  </si>
  <si>
    <t>ANALISTA JUDICIÁRIO - ESPECIALIZADO - PSICOLOGIA</t>
  </si>
  <si>
    <t>ANALISTA JUDICIÁRIO - ESPECIALIZADO - SERVIÇO SOCIAL</t>
  </si>
  <si>
    <t>ESC. 2ª ENT. TERMO SEDE</t>
  </si>
  <si>
    <t>ESC. 2ª ENT. TMO. JUDICIÁRIO</t>
  </si>
  <si>
    <t>AUXILIAR DE CARTÓRIO JUDICIAL</t>
  </si>
  <si>
    <t>AUXILIAR DE SECRETARIA</t>
  </si>
  <si>
    <t>COORDENADOR</t>
  </si>
  <si>
    <t>ANALISTA JUDICIÁRIO - ESPECIALIZADO - TI - ANÁLISE</t>
  </si>
  <si>
    <t>AUXILIAR DE GABINETE DE JUIZ</t>
  </si>
  <si>
    <t>ASSISTENTE DE GABINETE</t>
  </si>
  <si>
    <t>ESC. 1ª ENT. TERMO SEDE</t>
  </si>
  <si>
    <t>ASSESSOR JUDICIÁRIO</t>
  </si>
  <si>
    <t>ANALISTA EM CIÊNCIAS CONTÁBEIS</t>
  </si>
  <si>
    <t>TÉCNICO DE SUPORTE SÊNIOR</t>
  </si>
  <si>
    <t>ANALISTA JUDICIÁRIO - ÁREA ADMINISTRATIVA</t>
  </si>
  <si>
    <t>ASSESSOR DE JUIZADO ESPECIAL</t>
  </si>
  <si>
    <t>CHEFE DE DIVISÃO</t>
  </si>
  <si>
    <t>CHEFE DE GABINETE DE SECRETARIA</t>
  </si>
  <si>
    <t>TÉCNICO JUDICIÁRIO - ESPECIALIZADO - INFORMÁTICA</t>
  </si>
  <si>
    <t>ANALISTA JUDICIÁRIO - ESPECIALIZADO - PEDAGOGIA</t>
  </si>
  <si>
    <t>SECRETÁRIO</t>
  </si>
  <si>
    <t>ANALISTA DE SISTEMAS SÊNIOR</t>
  </si>
  <si>
    <t>JUIZ DE DIREITO AUXILIAR</t>
  </si>
  <si>
    <t>ANALISTA JUDICIÁRIO - ESPECIALIZADO - HISTÓRIA/MUS</t>
  </si>
  <si>
    <t>AJUDANTE DE CARTÓRIO JUDICIAL</t>
  </si>
  <si>
    <t>ESC. 1ª ENT. DIST. JUDICIÁRIO</t>
  </si>
  <si>
    <t>CARGO REQUISITADO (JUDICIÁRIO)</t>
  </si>
  <si>
    <t>CHEFE DE GABINETE SECRETARIA GERAL</t>
  </si>
  <si>
    <t>ESC. 2ª ENT DIST. JUDICIÁRIO</t>
  </si>
  <si>
    <t>CHEFE DE SECRETARIA UNIFICADA</t>
  </si>
  <si>
    <t>ANALISTA JUDICIÁRIO - ÁREA ADMINISTRATIVA - CONTAB</t>
  </si>
  <si>
    <t>DIRETOR JUDICIÁRIO</t>
  </si>
  <si>
    <t>CHEFE DE SECRETARIA DE CEJUSC</t>
  </si>
  <si>
    <t>ANALISTA JUDICIÁRIO - ESPECIALIZADO - BIBLIOTECONO</t>
  </si>
  <si>
    <t>TÉCNICO JUDICIÁRIO - NM - SAÚDE</t>
  </si>
  <si>
    <t>ANALISTA JUDICIÁRIO - ESPECIALIZADO - ARQUIVOLOGIA</t>
  </si>
  <si>
    <t>AUXILIAR DE SERVIÇOS JUDICIÁRIOS</t>
  </si>
  <si>
    <t>ANALISTA DE SUPORTE PLENO</t>
  </si>
  <si>
    <t>DEPOSITÁRIO JUDICIAL</t>
  </si>
  <si>
    <t>COORDENADOR TÉCNICO DE ATENDIMENTO E SUPORTE</t>
  </si>
  <si>
    <t>DIRETOR DE DEPARTAMENTO</t>
  </si>
  <si>
    <t>APOSENTADO - DECISÃO JUDICIAL</t>
  </si>
  <si>
    <t>JUIZ DE DIREITO DE ENTRÂNCIA FINAL</t>
  </si>
  <si>
    <t>APOSENTADO - QUADRO EM EXTINÇÃO</t>
  </si>
  <si>
    <t>ASSISTENTE SOCIAL</t>
  </si>
  <si>
    <t>ESC. 3ª ENT. TMO. JUDICIÁRIO</t>
  </si>
  <si>
    <t>CHEFE DE GABINETE PRESIDÊNCIA</t>
  </si>
  <si>
    <t>AGENTE DE SEGURANÇA JUDICIÁRIA</t>
  </si>
  <si>
    <t>ASSESSOR EM PSICOLOGIA</t>
  </si>
  <si>
    <t>ESC. 1ª ENT. TMO JUDICIÁRIO</t>
  </si>
  <si>
    <t>PSICÓLOGO</t>
  </si>
  <si>
    <t>ESC. 3ª ENT. DIST. JUDICIÁRIO</t>
  </si>
  <si>
    <t xml:space="preserve">[1] "TECNICO JUDICIARIO (ANALISTA JUDICIARIO - AREA JUDICIARIA) - LEI Nº 17.663/2012, ANEXO VIII" </t>
  </si>
  <si>
    <t xml:space="preserve">[2] "AUXILIAR DE SERVICOS DIVERSOS" </t>
  </si>
  <si>
    <t xml:space="preserve">[3] NA </t>
  </si>
  <si>
    <t xml:space="preserve">[4] "ESCREVENTE JUDICIARIO II (ANALISTA JUDICIARIO - AREA DE APOIO JUDICIARIO E ADMINISTRATIVO) - LEI Nº 17.663/2012, ANEXO IX" </t>
  </si>
  <si>
    <t xml:space="preserve">[5] "AUXILIAR DE SERVICOS GERAIS" </t>
  </si>
  <si>
    <t xml:space="preserve">[6] "JUIZ DE DIREITO DE ENTRANCIA FINAL" </t>
  </si>
  <si>
    <t xml:space="preserve">[7] "AGENTE ADMINISTRATIVO EDUCACIONAL DE APOIO" </t>
  </si>
  <si>
    <t xml:space="preserve">[8] "ANALISTA JUDICIARIO - AREA APOIO JUDICIARIO E ADMINISTRATIVO" </t>
  </si>
  <si>
    <t xml:space="preserve">[9] "AUXILIAR JUDICIARIO-CATEGORIA GERAL (ANALISTA JUDICIARIO - AREA DE APOIO JUDICIARIO E ADMINISTRATIVO) - LEI Nº 17.663/2012, ANEXO IX" </t>
  </si>
  <si>
    <t xml:space="preserve">[10] "AUXILIAR JUDICIARIO-CATEGORIA DIVERSOS" </t>
  </si>
  <si>
    <t xml:space="preserve">[11] "OFICIAL DE JUSTIÇA-AVALIADOR JUDICIARIO III (ANALISTA JUDICIARIO - AREA JUDICIARIA - OFICIAL DE JUSTIÇA AVALIADOR) - LEI Nº 17.663/2012, ANEXO VIII" </t>
  </si>
  <si>
    <t xml:space="preserve">[12] "A DISPOSICAO CELETISTA" </t>
  </si>
  <si>
    <t xml:space="preserve">[13] "OFICIAL DE JUSTIÇA-AVALIADOR JUDICIARIO II (ANALISTA JUDICIARIO - AREA JUDICIARIA - OFICIAL DE JUSTIÇA AVALIADOR) - LEI Nº 17.663/2012, ANEXO VIII" </t>
  </si>
  <si>
    <t xml:space="preserve">[14] "ESCRIVAO JUDICIARIO III (ANALISTA JUDICIARIO - AREA JUDICIARIA) - LEI Nº 17.663/2012, ANEXO VIII" </t>
  </si>
  <si>
    <t xml:space="preserve">[15] "PORTEIRO JUDICIARIO I (ANALISTA JUDICIARIO - AREA DE APOIO JUDICIARIO E ADMINISTRATIVO) - LEI Nº 17.663/2012, ANEXO IX" </t>
  </si>
  <si>
    <t xml:space="preserve">[16] "ESCRIVAO JUDICIARIO II (ANALISTA JUDICIARIO - AREA JUDICIARIA) - LEI Nº 17.663/2012, ANEXO VIII" </t>
  </si>
  <si>
    <t xml:space="preserve">[17] "ESCREVENTE JUDICIARIO I (ANALISTA JUDICIARIO - AREA DE APOIO JUDICIARIO E ADMINISTRATIVO) - LEI Nº 17.663/2012, ANEXO IX" </t>
  </si>
  <si>
    <t xml:space="preserve">[18] "CONTADOR, DISTRIBUIDOR E PARTIDOR JUDICIARIO I (ANALISTA JUDICIARIO - AREA ESPECIALIZADA) - LEI Nº 17.663/2012, ANEXO IX" </t>
  </si>
  <si>
    <t xml:space="preserve">[19] "OFICIAL DE JUSTIÇA-AVALIADOR JUDICIARIO I (ANALISTA JUDICIARIO - AREA JUDICIARIA - OFICIAL DE JUSTIÇA AVALIADOR) - LEI Nº 17.663/2012, ANEXO VIII" </t>
  </si>
  <si>
    <t xml:space="preserve">[20] "DESEMBARGADOR" </t>
  </si>
  <si>
    <t xml:space="preserve">[21] "JUIZ DE DIREITO 3ª ENTRANCIA" </t>
  </si>
  <si>
    <t xml:space="preserve">[22] "OFICIAL DE REGISTRO CIVIL-OFICIALIZADO-EE" </t>
  </si>
  <si>
    <t xml:space="preserve">[23] "ANALISTA JUDICIÁRIO - ÁREA JUDICIÁRIA - OFICIAL DE JUSTIÇA AVALIADOR" </t>
  </si>
  <si>
    <t xml:space="preserve">[24] "ESCREVENTE JUDICIARIO III (ANALISTA JUDICIARIO AREA ADMINISTRATIVA) - LEI Nº 17.663/2012, ANEXO IX" </t>
  </si>
  <si>
    <t xml:space="preserve">[25] "ESCRIVAO JUDICIARIO I (ANALISTA JUDICIARIO - AREA JUDICIARIA) - LEI Nº 17.663/2012, ANEXO VIII" </t>
  </si>
  <si>
    <t xml:space="preserve">[26] "JUIZ DE DIREITO DE ENTRANCIA INICIAL" </t>
  </si>
  <si>
    <t xml:space="preserve">[27] "SERVIÇOS GERAIS" </t>
  </si>
  <si>
    <t xml:space="preserve">[28] "TECNICO JUDICIARIO (ANALISTA JUDICIARIO - AREA ESPECIALIZADA) - LEI Nº 17.663/2012, ANEXO IX" </t>
  </si>
  <si>
    <t xml:space="preserve">[29] "PORTEIRO JUDICIARIO II (ANALISTA JUDICIARIO - AREA DE APOIO JUDICIARIO E ADMINISTRATIVO) - LEI Nº 17.663/2012, ANEXO IX" </t>
  </si>
  <si>
    <t xml:space="preserve">[30] "AGENTE ADMINISTRATIVO" </t>
  </si>
  <si>
    <t xml:space="preserve">[31] "AUXILIAR DE SERVIÇOS GERAIS" </t>
  </si>
  <si>
    <t xml:space="preserve">[32] "ESCRITURÁRIO" </t>
  </si>
  <si>
    <t xml:space="preserve">[33] "FISCAL DE VIGILANCIA SANITARIA" </t>
  </si>
  <si>
    <t xml:space="preserve">[34] "AUXILIAR ADMINISTRATIVO" </t>
  </si>
  <si>
    <t xml:space="preserve">[35] "CONTADOR, DISTRIBUIDOR E PARTIDOR JUDICIARIO II (ANALISTA JUDICIARIO - AREA ESPECIALIZADA) - LEI Nº 17.663/2012, ANEXO IX" </t>
  </si>
  <si>
    <t xml:space="preserve">[36] "JUIZ DE DIREITO DE ENTR.INTERMEDIARIA" </t>
  </si>
  <si>
    <t xml:space="preserve">[37] "ANALISTA JUDICIÁRIO - ÁREA JUDICIÁRIA" </t>
  </si>
  <si>
    <t xml:space="preserve">[38] "AUXILIAR JUDICIARIO-QS (ANALISTA JUDICIARIO - AREA DE APOIO JUDICIARIO E ADMINISTRATIVO) - LEI Nº 17.663/2012, ANEXO IX" </t>
  </si>
  <si>
    <t xml:space="preserve">[39] "AUXILIAR DE SERVICOS GERAIS-QS" </t>
  </si>
  <si>
    <t xml:space="preserve">[40] "TECNICO JUDICIARIO-QS" </t>
  </si>
  <si>
    <t xml:space="preserve">[41] "DEPOSITARIO JUDICIARIO I (ANALISTA JUDICIARIO - AREA DE APOIO JUDICIARIO E ADMINISTRATIVO) - LEI Nº 17.663/2012, ANEXO IX" </t>
  </si>
  <si>
    <t xml:space="preserve">[42] "JUIZ DE DIREITO DE TURMA RECURSAL" </t>
  </si>
  <si>
    <t xml:space="preserve">[43] "OFICIAL DE JUSTIÇA (ANALISTA JUDICIARIO - AREA JUDICIARIA - OFICIAL DE JUSTIÇA AVALIADOR) - LEI Nº 17.663/2012, ANEXO VIII" </t>
  </si>
  <si>
    <t>[44] "OFICIAL DE JUSTIÇA-AVALIADOR JUDICIARIO QS II (ANALISTA JUDICIARIO - AREA JUDICIARIA - OFICIAL DE JUSTIÇA AVALIADOR) - LEI Nº 17.663/2012, ANEXO VIII"</t>
  </si>
  <si>
    <t xml:space="preserve">[45] "TRABALHADOR SERV. COLET. LIMP. E CONS. AREAS PUBLICAS" </t>
  </si>
  <si>
    <t xml:space="preserve">[46] "OFICIAL DE JUSTIÇA - QS" </t>
  </si>
  <si>
    <t xml:space="preserve">[47] "ESCREVENTE JUDICIARIO (ANALISTA JUDICIARIA - AREA DE APOIO JUDICIARIO E ADMINISTRATIVO) - LEI Nº 17.663/2012, ANEXO IX" </t>
  </si>
  <si>
    <t xml:space="preserve">[48] "ANALISTA JUDICIARIO - AREA ESPECIALIZADA" </t>
  </si>
  <si>
    <t xml:space="preserve">[49] "CONTADOR JUDICIARIO II (ANALISTA JUDICIARIO - AREA ESPECIALIZADA) - LEI Nº 17.663/2012, ANEXO IX" </t>
  </si>
  <si>
    <t xml:space="preserve">[50] "PROFISSIONAL DE EDUCAÇÃO I - PEDAGOGO" </t>
  </si>
  <si>
    <t xml:space="preserve">[51] "TECNICO JUDICIARIO" </t>
  </si>
  <si>
    <t xml:space="preserve">[52] "JUIZ SUBSTITUTO" </t>
  </si>
  <si>
    <t xml:space="preserve">[53] "AGENTE DE SERVIÇOS GERAIS" </t>
  </si>
  <si>
    <t xml:space="preserve">[54] "OFICIAL DE JUSTIÇA-AVALIADOR JUDICIARIO QS III (ANALISTA JUDICIARIO - AREA JUDICIARIA - OFICIAL DE JUSTIÇA AVALIADOR) - LEI Nº 17.663/2012, ANEXO IX" </t>
  </si>
  <si>
    <t xml:space="preserve">[55] "AUXILIAR EDUCACIONAL" </t>
  </si>
  <si>
    <t xml:space="preserve">[56] "COZINHEIRA" </t>
  </si>
  <si>
    <t xml:space="preserve">[57] "FISCAL DE SERVIÇOS PUBLICOS" </t>
  </si>
  <si>
    <t xml:space="preserve">[58] "ESCREVENTE JUDICIARIO-QS, III (ANALISTA JUDICIARIO - AREA DE APOIO JUDICIARIO E ADMINISTRATIVO) - LEI Nº 17.663/2012, ANEXO IX" </t>
  </si>
  <si>
    <t xml:space="preserve">[59] "MERENDEIRA" </t>
  </si>
  <si>
    <t xml:space="preserve">[60] "DEPOSITARIO JUDICIARIO II (ANALISTA JUDICIARIO - AREA DE APOIO JUDICIARIO E ADMINISTRATIVO) - LEI Nº 17.663/2012, ANEXO IX" </t>
  </si>
  <si>
    <t xml:space="preserve">[61] "AUXILIAR DE SERVIÇOS GERAIS" </t>
  </si>
  <si>
    <t xml:space="preserve">[62] "ARQUITETA" </t>
  </si>
  <si>
    <t xml:space="preserve">[63] "ESCRIVAO DE POLICIA" </t>
  </si>
  <si>
    <t xml:space="preserve">[64] "PROFESSOR P.E. - I" </t>
  </si>
  <si>
    <t xml:space="preserve">[65] "PORTEIRO JUDICIARIO III (ANALISTA JUDICIARIO - AREA DE APOIO JUDICIARIO E ADMINISTRATIVO) - LEI Nº 17.663/2012, ANEXO IX" </t>
  </si>
  <si>
    <t xml:space="preserve">[66] "JUIZ SUBSTITUTO EM SEGUNDO GRAU" </t>
  </si>
  <si>
    <t xml:space="preserve">[67] "TRABALHADOR DE LIMPEZA URBANA I" </t>
  </si>
  <si>
    <t xml:space="preserve">[68] "ANALISTA AMBIENTAL - BIOLOGIA" </t>
  </si>
  <si>
    <t xml:space="preserve">[69] "SECRETÁRIO DE ESCOLA" </t>
  </si>
  <si>
    <t xml:space="preserve">[70] "ESCRIVAO NAO OFICIALIZADO (ANALISTA JUDICIARIO - AREA JUDICIARIA) - LEI Nº 17.663/2012, ANEXO VIII" </t>
  </si>
  <si>
    <t xml:space="preserve">[71] "TÉCNICO EM GESTÃO PÚBLICA" </t>
  </si>
  <si>
    <t xml:space="preserve">[72] "TÉCNICO EM ENFERMAGEM" </t>
  </si>
  <si>
    <t xml:space="preserve">[73] "ESCREVENTE JUDICIARIO-QS, II (ANALISTA JUDICIARIO - AREA DE APOIO JUDICIARIO E ADMINISTRATIVO) - LEI Nº 17.663/2012, ANEXO IX" </t>
  </si>
  <si>
    <t xml:space="preserve">[74] "ESPECIALISTA EM SAUDE" </t>
  </si>
  <si>
    <t xml:space="preserve">[75] "ASSISTENTE DE ATIVIDADES ADMINISTRATIVAS" </t>
  </si>
  <si>
    <t xml:space="preserve">[76] "GESTOR JURIDICO" </t>
  </si>
  <si>
    <t xml:space="preserve">[77] "AUXILIAR TECNICO DE SAUDE" </t>
  </si>
  <si>
    <t xml:space="preserve">[78] "AUXILIAR DE ATIVIDADES EDUCATIVAS" </t>
  </si>
  <si>
    <t xml:space="preserve">[79] "OUVIDOR PUBLICO" </t>
  </si>
  <si>
    <t xml:space="preserve">[80] "GERENTE ADMINISTRATIVO DO CEAMI XL = CC3-A" </t>
  </si>
  <si>
    <t xml:space="preserve">[81] "PROFESSOR DA EDUCAÇÃO BÁSICA" </t>
  </si>
  <si>
    <t xml:space="preserve">[82] "TECNICO AGRICOLA" </t>
  </si>
  <si>
    <t xml:space="preserve">[83] "ASSISTENTE DE GESTÃO ADMINISTRATIVA" </t>
  </si>
  <si>
    <t xml:space="preserve">[84] "SECRETARIO DE CAMARA ISOLADA" </t>
  </si>
  <si>
    <t xml:space="preserve">[85] "AGENTE DE APOIO EDUCACIONAL III" </t>
  </si>
  <si>
    <t xml:space="preserve">[86] "ASSESSOR - A" </t>
  </si>
  <si>
    <t xml:space="preserve">[87] "OFICIAL DE REGISTRO CIVIL-OFICIALIZADO-O" </t>
  </si>
  <si>
    <t xml:space="preserve">[88] "GESTOR DE TECNOLOGIA DA INFORMAÇÃO" </t>
  </si>
  <si>
    <t xml:space="preserve">[89] "JUIZ DE DIREITO 1ª ENTRANCIA" </t>
  </si>
  <si>
    <t xml:space="preserve">[90] "DISTRIBUIDOR E PARTIDOR JUDICIARIO II (ANALISTA JUDICIARIO - AREA JUDICIARIA) - LEI Nº 17.663/2012, ANEXO VIII" </t>
  </si>
  <si>
    <t xml:space="preserve">[91] "AUXILIAR DE DESENVOLVIMENTO INFANTIL" </t>
  </si>
  <si>
    <t xml:space="preserve">[92] "TELEFONISTA" </t>
  </si>
  <si>
    <t xml:space="preserve">[93] "AUXILIAR OPERACIONAL" </t>
  </si>
  <si>
    <t xml:space="preserve">[94] "ASSISTENTE ADMINISTRATIVO" </t>
  </si>
  <si>
    <t xml:space="preserve">[95] "MOTORISTA" </t>
  </si>
  <si>
    <t xml:space="preserve">[96] "MEDICO" </t>
  </si>
  <si>
    <t xml:space="preserve">[97] "VIGILANTE" </t>
  </si>
  <si>
    <t xml:space="preserve">[98] "ASSISTENTE DE RECURSOS HUMANOS" </t>
  </si>
  <si>
    <t xml:space="preserve">[99] "EXECUTOR ADMINISTRATIVO" </t>
  </si>
  <si>
    <t xml:space="preserve">[100] "RECEPCIONISTA" </t>
  </si>
  <si>
    <t xml:space="preserve">[101] "AUXILIAR DE SERVICOS DE HIGIENE E ALIMENTACAO" </t>
  </si>
  <si>
    <t xml:space="preserve">[102] "ESCRITURÁRIO II" </t>
  </si>
  <si>
    <t xml:space="preserve">[103] "CUIDADOR" </t>
  </si>
  <si>
    <t xml:space="preserve">[104] "PROFISSIONAL DE EDUCACAO II" </t>
  </si>
  <si>
    <t xml:space="preserve">[105] "PROFESSOR PIII - NIVEL A" </t>
  </si>
  <si>
    <t xml:space="preserve">[106] "JUIZ DE DIREITO 2ª ENTRANCIA" </t>
  </si>
  <si>
    <t xml:space="preserve">[107] "VIGIA" </t>
  </si>
  <si>
    <t xml:space="preserve">[108] "RECREADOR" </t>
  </si>
  <si>
    <t xml:space="preserve">[109] "OPERADOR DE COMPUTADOR" </t>
  </si>
  <si>
    <t xml:space="preserve">[110] "ZELADORA" </t>
  </si>
  <si>
    <t xml:space="preserve">[111] "EXECUTOR DE SERVIÇOS AUXILIARES I" </t>
  </si>
  <si>
    <t xml:space="preserve">[112] "PROFISSIONAL DO MAGISTÉRIO" </t>
  </si>
  <si>
    <t xml:space="preserve">[113] "AUXILIAR ADMINISTRATIVO - SERVIÇOS GERAIS" </t>
  </si>
  <si>
    <t xml:space="preserve">[114] "AGENTE COMUNITARIO DE SAUDE" </t>
  </si>
  <si>
    <t xml:space="preserve">[115] "CONTADOR JUDICIARIO III (ANALISTA JUDICIARIO - AREA ESPECIALIZADA) - LEI Nº 17.663/2012, ANEXO IX" </t>
  </si>
  <si>
    <t xml:space="preserve">[116] "BIBLIOTECARIO" </t>
  </si>
  <si>
    <t xml:space="preserve">[117] "GARI" </t>
  </si>
  <si>
    <t xml:space="preserve">[118] "AUXILIAR DE SERVIÇOS GERAIS III" </t>
  </si>
  <si>
    <t xml:space="preserve">[119] "AGENTE DE INSPECAO" </t>
  </si>
  <si>
    <t xml:space="preserve">[120] "ANALISTA TÉCNICO - ADMINISTRADOR" </t>
  </si>
  <si>
    <t xml:space="preserve">[121] "AGENTE ADMINISTRATIVO II" </t>
  </si>
  <si>
    <t xml:space="preserve">[122] "AUXILIAR DE CMEI" </t>
  </si>
  <si>
    <t xml:space="preserve">[123] "MÉDICO" </t>
  </si>
  <si>
    <t xml:space="preserve">[124] "AUXILIAR BIBLIOTECARIO" </t>
  </si>
  <si>
    <t xml:space="preserve">[125] "ANALISTA JUDICIARIO" </t>
  </si>
  <si>
    <t xml:space="preserve">[126] "AUDITOR" </t>
  </si>
  <si>
    <t xml:space="preserve">[127] "DISTRIBUIDOR JUDICIARIO II (ANALISTA JUDICIARIO - AREA JUDICIARIA) - LEI Nº 17.663/2012, ANEXO VIII" </t>
  </si>
  <si>
    <t xml:space="preserve">[128] "FISCAL DE POSTURA" </t>
  </si>
  <si>
    <t xml:space="preserve">[129] "FISCAL DE TRIBUTOS" </t>
  </si>
  <si>
    <t xml:space="preserve">[130] "ESCRITURARIA" </t>
  </si>
  <si>
    <t xml:space="preserve">[131] "TÉCNICO EM INFORMÁTICA" </t>
  </si>
  <si>
    <t xml:space="preserve">[132] "ANALISTA DE GESTÃO ADMINISTRATIVA" </t>
  </si>
  <si>
    <t xml:space="preserve">[133] "ASSISTENTE LEGISLATIVO" </t>
  </si>
  <si>
    <t xml:space="preserve">[134] "SERVENTE DE LIMPEZA" </t>
  </si>
  <si>
    <t xml:space="preserve">[135] "PSICÓLOGA" </t>
  </si>
  <si>
    <t xml:space="preserve">[136] "OPERADOR DE MAQUINA LEVE" </t>
  </si>
  <si>
    <t xml:space="preserve">[137] "TECNICO ADMINISTRATIVO EXECUTIVO" </t>
  </si>
  <si>
    <t xml:space="preserve">[138] "PROFESSOR PIII" </t>
  </si>
  <si>
    <t xml:space="preserve">[139] "JARDINEIRO" </t>
  </si>
  <si>
    <t xml:space="preserve">[140] "SECRETARIO ASSISTENTE" </t>
  </si>
  <si>
    <t xml:space="preserve">[141] "PSICOLOGO" </t>
  </si>
  <si>
    <t xml:space="preserve">[142] "ARQUITETO" </t>
  </si>
  <si>
    <t xml:space="preserve">[143] "DEPOSITARIO JUDICIARIO III (ANEXO III - LEI Nº 17.663/2012)" </t>
  </si>
  <si>
    <t xml:space="preserve">[144] "AGENTE ADMINISTRATIVO \"A\"" </t>
  </si>
  <si>
    <t xml:space="preserve">[145] "AGENTE DE POLICIA" </t>
  </si>
  <si>
    <t xml:space="preserve">[146] "DISTRIBUIDOR JUDICIARIO III (ANALISTA JUDICIARIO - AREA JUDICIARIA) - LEI Nº 17.663/2012, ANEXO VIII" </t>
  </si>
  <si>
    <t xml:space="preserve">[147] "FISCAL DE MEIO AMBIENTE E TURISMO" </t>
  </si>
  <si>
    <t xml:space="preserve">[148] "AUDITOR DE SISTEMAS E SERVICOS DE SAUDE" </t>
  </si>
  <si>
    <t xml:space="preserve">[149] "AUXILIAR ADMINISTRATIVO II" </t>
  </si>
  <si>
    <t xml:space="preserve">[150] "ANALISTA DE COMUNICAÇÃO" </t>
  </si>
  <si>
    <t xml:space="preserve">[151] "PROFESSOR II" </t>
  </si>
  <si>
    <t xml:space="preserve">[152] "ASSISTENTE DE PORTADORES DE NECESSIDADES ESPECIAIS" </t>
  </si>
  <si>
    <t xml:space="preserve">[153] "AGENTE DE SERVIÇO SOCIAL" </t>
  </si>
  <si>
    <t xml:space="preserve">[154] "AUXILIAR DE SERVIÇOS" </t>
  </si>
  <si>
    <t xml:space="preserve">[155] "INSTRUTOR DE ESPORTES" </t>
  </si>
  <si>
    <t xml:space="preserve">[156] "AGENTE DE TRANSITO" </t>
  </si>
  <si>
    <t xml:space="preserve">[157] "AGENTE DE SERV. DE HIGIENE E ALIMENTACAO" </t>
  </si>
  <si>
    <t xml:space="preserve">[158] "AUXILIAR DE EDUCAÇÃO" </t>
  </si>
  <si>
    <t xml:space="preserve">[159] "AUXILIAR DE SECRETARIA" </t>
  </si>
  <si>
    <t xml:space="preserve">[160] "ASSISTENTE ADMINISTRATIVO EDUCACIONAL" </t>
  </si>
  <si>
    <t xml:space="preserve">[161] "ANALISTA LEGISLATIVO" </t>
  </si>
  <si>
    <t xml:space="preserve">[162] "SECRETARIO AUXILIAR" </t>
  </si>
  <si>
    <t xml:space="preserve">[163] "AGENTE DE COMBATES ÀS ENDEMIAS" </t>
  </si>
  <si>
    <t xml:space="preserve">[164] "DIGITADOR DE MICRO COMPUTADOR" </t>
  </si>
  <si>
    <t xml:space="preserve">[165] "AGENTE DE ADMINISTRAÇÃO PÚBLICA" </t>
  </si>
  <si>
    <t xml:space="preserve">[166] "ASSISTENTE DE EDUCAÇÃO INFANTIL" </t>
  </si>
  <si>
    <t xml:space="preserve">[167] "ESCRIVAO I" </t>
  </si>
  <si>
    <t xml:space="preserve">[168] "PEDAGOGO" </t>
  </si>
  <si>
    <t xml:space="preserve">[169] "AGENTE DE TRÂNSITO" </t>
  </si>
  <si>
    <t xml:space="preserve">[170] "TELEFONISTA DE PABX" </t>
  </si>
  <si>
    <t xml:space="preserve">[171] "ASSESSOR ADMINISTRATIVO" </t>
  </si>
  <si>
    <t xml:space="preserve">[172] "AUXILIAR DE DEPARTAMENTO" </t>
  </si>
  <si>
    <t xml:space="preserve">[173] "AUXILIAR DE LIMPEZA" </t>
  </si>
  <si>
    <t xml:space="preserve">[174] "AUXILIAR OPERACIONAL DE SERVIÇOS" </t>
  </si>
  <si>
    <t xml:space="preserve">[175] "AGENTE DE RECREAÇÃO" </t>
  </si>
  <si>
    <t xml:space="preserve">[176] "PROFESSOR" </t>
  </si>
  <si>
    <t xml:space="preserve">[177] "ESCRIVAO DA FAZENDA PUBLICA E CIVEL 3 ENT" </t>
  </si>
  <si>
    <t xml:space="preserve">[178] "TRABALHADOR BRAÇAL" </t>
  </si>
  <si>
    <t xml:space="preserve">[179] "SERVENTE" </t>
  </si>
  <si>
    <t xml:space="preserve">[180] "TRABALHADOR DE LIMPEZA URBANA" </t>
  </si>
  <si>
    <t xml:space="preserve">[181] "OFICIAL DE REGISTRO CIVIL-OFICIALIZADO-O II" </t>
  </si>
  <si>
    <t xml:space="preserve">[182] "PSICOLOGA" </t>
  </si>
  <si>
    <t xml:space="preserve">[183] "ANALISTA ADMINISTRATIVO" </t>
  </si>
  <si>
    <t xml:space="preserve">[184] "COMISSARIO DE VIGILANCIA DE MENORES" </t>
  </si>
  <si>
    <t xml:space="preserve">[185] "PROFESSOR I" </t>
  </si>
  <si>
    <t xml:space="preserve">[186] "TÉCNICO CONTÁBIL VII" </t>
  </si>
  <si>
    <t xml:space="preserve">[187] "ANALISTA DE SUPORTE TÉCNICO SUPERIOR" </t>
  </si>
  <si>
    <t xml:space="preserve">[188] "AGENTE DE SERVICO ADMINISTRATIVO" </t>
  </si>
  <si>
    <t xml:space="preserve">[189] "MONITOR DE EDUCAÇÃO NÍVEL 1" </t>
  </si>
  <si>
    <t xml:space="preserve">[190] "AGENTE OPERACIONAL" </t>
  </si>
  <si>
    <t xml:space="preserve">[191] "PSICÓLOGO" </t>
  </si>
  <si>
    <t xml:space="preserve">[192] "AGENTE DE HIGIENE E ALIMENTAÇÃO" </t>
  </si>
  <si>
    <t xml:space="preserve">[193] "AGENTE LEGISLATIVO" </t>
  </si>
  <si>
    <t xml:space="preserve">[194] "RECEPCIONISTA NIVEL II" </t>
  </si>
  <si>
    <t xml:space="preserve">[195] "FISCAL DE TRANSPORTE COLETIVO" </t>
  </si>
  <si>
    <t xml:space="preserve">[196] "ANALISTA DE GESTÃO GOVERNAMENTAL" </t>
  </si>
  <si>
    <t xml:space="preserve">[197] "AGENTE EDUCATIVO" </t>
  </si>
  <si>
    <t xml:space="preserve">[198] "AGENTE PENITENCIÁRIO" </t>
  </si>
  <si>
    <t xml:space="preserve">[199] "TECNICO EM ENFERMAGEM" </t>
  </si>
  <si>
    <t xml:space="preserve">[200] "RECEPCIONISTA/TELEFONISTA" </t>
  </si>
  <si>
    <t xml:space="preserve">[201] "GUARDA MUNICIPAL" </t>
  </si>
  <si>
    <t xml:space="preserve">[202] "MECANICO DE MAQUINAS" </t>
  </si>
  <si>
    <t xml:space="preserve">[203] "AUXILIAR DE SERVICOS ADMINISTRATIVOS" </t>
  </si>
  <si>
    <t xml:space="preserve">[204] "AGENTE EDUCACIONAL" </t>
  </si>
  <si>
    <t xml:space="preserve">[205] "DELEGADO (A)" </t>
  </si>
  <si>
    <t xml:space="preserve">[206] "ASSISTENTE TECNICO PROFISSIONAL" </t>
  </si>
  <si>
    <t xml:space="preserve">[207] "FISCAL DE TRIBUTOS MUNICIPAL" </t>
  </si>
  <si>
    <t xml:space="preserve">[208] "AGENTE DE COMBATE AS ENDEMIAS" </t>
  </si>
  <si>
    <t xml:space="preserve">[209] "AUXILIAR DE ATIVIDADES EDUCATIVAS I" </t>
  </si>
  <si>
    <t xml:space="preserve">[210] "AGENTE DE SEGURANÇA PRISIONAL" </t>
  </si>
  <si>
    <t xml:space="preserve">[211] "AUXILIAR DE SERVICO SOCIAL" </t>
  </si>
  <si>
    <t xml:space="preserve">[212] "AGENTE DE MANUTENÇÃO MECANICA" </t>
  </si>
  <si>
    <t xml:space="preserve">[213] "PROFESSORA" </t>
  </si>
  <si>
    <t xml:space="preserve">[214] "ANALISTA DE LICITACAO" </t>
  </si>
  <si>
    <t>[215] "GUARDA CIVIL MUNICIPAL"</t>
  </si>
  <si>
    <t>TECNICO JUDICIARIO (ANALISTA JUDICIARIO - AREA JUDICIARIA) - LEI NÂº 17.663/2012, ANEXO VIII</t>
  </si>
  <si>
    <t>AUXILIAR DE SERVICOS DIVERSOS</t>
  </si>
  <si>
    <t>ESCREVENTE JUDICIARIO II (ANALISTA JUDICIARIO - AREA DE APOIO JUDICIARIO E ADMINISTRATIVO) - LEI NÂº 17.663/2012, ANEXO IX</t>
  </si>
  <si>
    <t>AUXILIAR DE SERVICOS GERAIS</t>
  </si>
  <si>
    <t>JUIZ DE DIREITO DE ENTRANCIA FINAL</t>
  </si>
  <si>
    <t>AGENTE ADMINISTRATIVO EDUCACIONAL DE APOIO</t>
  </si>
  <si>
    <t>ANALISTA JUDICIARIO - AREA APOIO JUDICIARIO E ADMINISTRATIVO</t>
  </si>
  <si>
    <t>AUXILIAR JUDICIARIO-CATEGORIA GERAL (ANALISTA JUDICIARIO - AREA DE APOIO JUDICIARIO E ADMINISTRATIVO) - LEI NÂº 17.663/2012, ANEXO IX</t>
  </si>
  <si>
    <t>AUXILIAR JUDICIARIO-CATEGORIA DIVERSOS</t>
  </si>
  <si>
    <t>A DISPOSICAO CELETISTA</t>
  </si>
  <si>
    <t>ESCRIVAO JUDICIARIO III (ANALISTA JUDICIARIO - AREA JUDICIARIA) - LEI NÂº 17.663/2012, ANEXO VIII</t>
  </si>
  <si>
    <t>PORTEIRO JUDICIARIO I (ANALISTA JUDICIARIO - AREA DE APOIO JUDICIARIO E ADMINISTRATIVO) - LEI NÂº 17.663/2012, ANEXO IX</t>
  </si>
  <si>
    <t>ESCRIVAO JUDICIARIO II (ANALISTA JUDICIARIO - AREA JUDICIARIA) - LEI NÂº 17.663/2012, ANEXO VIII</t>
  </si>
  <si>
    <t>ESCREVENTE JUDICIARIO I (ANALISTA JUDICIARIO - AREA DE APOIO JUDICIARIO E ADMINISTRATIVO) - LEI NÂº 17.663/2012, ANEXO IX</t>
  </si>
  <si>
    <t>CONTADOR, DISTRIBUIDOR E PARTIDOR JUDICIARIO I (ANALISTA JUDICIARIO - AREA ESPECIALIZADA) - LEI NÂº 17.663/2012, ANEXO IX</t>
  </si>
  <si>
    <t>JUIZ DE DIREITO 3Âª ENTRANCIA</t>
  </si>
  <si>
    <t>OFICIAL DE REGISTRO CIVIL-OFICIALIZADO-EE</t>
  </si>
  <si>
    <t>ESCREVENTE JUDICIARIO III (ANALISTA JUDICIARIO AREA ADMINISTRATIVA) - LEI NÂº 17.663/2012, ANEXO IX</t>
  </si>
  <si>
    <t>ESCRIVAO JUDICIARIO I (ANALISTA JUDICIARIO - AREA JUDICIARIA) - LEI NÂº 17.663/2012, ANEXO VIII</t>
  </si>
  <si>
    <t>JUIZ DE DIREITO DE ENTRANCIA INICIAL</t>
  </si>
  <si>
    <t>SERVIÃ‡OS GERAIS</t>
  </si>
  <si>
    <t>TECNICO JUDICIARIO (ANALISTA JUDICIARIO - AREA ESPECIALIZADA) - LEI NÂº 17.663/2012, ANEXO IX</t>
  </si>
  <si>
    <t>PORTEIRO JUDICIARIO II (ANALISTA JUDICIARIO - AREA DE APOIO JUDICIARIO E ADMINISTRATIVO) - LEI NÂº 17.663/2012, ANEXO IX</t>
  </si>
  <si>
    <t>AGENTE ADMINISTRATIVO</t>
  </si>
  <si>
    <t>AUXILIAR DE SERVIÃ‡OS GERAIS</t>
  </si>
  <si>
    <t>ESCRITURÃRIO</t>
  </si>
  <si>
    <t>FISCAL DE VIGILANCIA SANITARIA</t>
  </si>
  <si>
    <t>AUXILIAR ADMINISTRATIVO</t>
  </si>
  <si>
    <t>CONTADOR, DISTRIBUIDOR E PARTIDOR JUDICIARIO II (ANALISTA JUDICIARIO - AREA ESPECIALIZADA) - LEI NÂº 17.663/2012, ANEXO IX</t>
  </si>
  <si>
    <t>JUIZ DE DIREITO DE ENTR.INTERMEDIARIA</t>
  </si>
  <si>
    <t>ANALISTA JUDICIÃRIO - ÃREA JUDICIÃRIA</t>
  </si>
  <si>
    <t>AUXILIAR JUDICIARIO-QS (ANALISTA JUDICIARIO - AREA DE APOIO JUDICIARIO E ADMINISTRATIVO) - LEI NÂº 17.663/2012, ANEXO IX</t>
  </si>
  <si>
    <t>AUXILIAR DE SERVICOS GERAIS-QS</t>
  </si>
  <si>
    <t>TECNICO JUDICIARIO-QS</t>
  </si>
  <si>
    <t>DEPOSITARIO JUDICIARIO I (ANALISTA JUDICIARIO - AREA DE APOIO JUDICIARIO E ADMINISTRATIVO) - LEI NÂº 17.663/2012, ANEXO IX</t>
  </si>
  <si>
    <t>JUIZ DE DIREITO DE TURMA RECURSAL</t>
  </si>
  <si>
    <t>TRABALHADOR SERV. COLET. LIMP. E CONS. AREAS PUBLICAS</t>
  </si>
  <si>
    <t>ESCREVENTE JUDICIARIO (ANALISTA JUDICIARIA - AREA DE APOIO JUDICIARIO E ADMINISTRATIVO) - LEI NÂº 17.663/2012, ANEXO IX</t>
  </si>
  <si>
    <t>ANALISTA JUDICIARIO - AREA ESPECIALIZADA</t>
  </si>
  <si>
    <t>CONTADOR JUDICIARIO II (ANALISTA JUDICIARIO - AREA ESPECIALIZADA) - LEI NÂº 17.663/2012, ANEXO IX</t>
  </si>
  <si>
    <t>PROFISSIONAL DE EDUCAÃ‡ÃƒO I - PEDAGOGO</t>
  </si>
  <si>
    <t>TECNICO JUDICIARIO</t>
  </si>
  <si>
    <t>JUIZ SUBSTITUTO</t>
  </si>
  <si>
    <t>AGENTE DE SERVIÃ‡OS GERAIS</t>
  </si>
  <si>
    <t>AUXILIAR EDUCACIONAL</t>
  </si>
  <si>
    <t>COZINHEIRA</t>
  </si>
  <si>
    <t>FISCAL DE SERVIÃ‡OS PUBLICOS</t>
  </si>
  <si>
    <t>ESCREVENTE JUDICIARIO-QS, III (ANALISTA JUDICIARIO - AREA DE APOIO JUDICIARIO E ADMINISTRATIVO) - LEI NÂº 17.663/2012, ANEXO IX</t>
  </si>
  <si>
    <t>MERENDEIRA</t>
  </si>
  <si>
    <t>DEPOSITARIO JUDICIARIO II (ANALISTA JUDICIARIO - AREA DE APOIO JUDICIARIO E ADMINISTRATIVO) - LEI NÂº 17.663/2012, ANEXO IX</t>
  </si>
  <si>
    <t>AUXILIAR  DE SERVIÃ‡OS GERAIS</t>
  </si>
  <si>
    <t>ARQUITETA</t>
  </si>
  <si>
    <t>ESCRIVAO DE POLICIA</t>
  </si>
  <si>
    <t>PROFESSOR P.E. - I</t>
  </si>
  <si>
    <t>PORTEIRO JUDICIARIO III (ANALISTA JUDICIARIO - AREA DE APOIO JUDICIARIO E ADMINISTRATIVO) - LEI NÂº 17.663/2012, ANEXO IX</t>
  </si>
  <si>
    <t>JUIZ SUBSTITUTO EM SEGUNDO GRAU</t>
  </si>
  <si>
    <t>TRABALHADOR DE LIMPEZA URBANA I</t>
  </si>
  <si>
    <t>ANALISTA AMBIENTAL - BIOLOGIA</t>
  </si>
  <si>
    <t>SECRETÃRIO DE ESCOLA</t>
  </si>
  <si>
    <t>ESCRIVAO NAO OFICIALIZADO (ANALISTA JUDICIARIO - AREA JUDICIARIA) - LEI NÂº 17.663/2012, ANEXO VIII</t>
  </si>
  <si>
    <t>ESCREVENTE JUDICIARIO-QS, II (ANALISTA JUDICIARIO - AREA DE APOIO JUDICIARIO E ADMINISTRATIVO) - LEI NÂº 17.663/2012, ANEXO IX</t>
  </si>
  <si>
    <t>ESPECIALISTA EM SAUDE</t>
  </si>
  <si>
    <t>ASSISTENTE DE ATIVIDADES ADMINISTRATIVAS</t>
  </si>
  <si>
    <t>GESTOR JURIDICO</t>
  </si>
  <si>
    <t>AUXILIAR TECNICO DE SAUDE</t>
  </si>
  <si>
    <t>AUXILIAR DE ATIVIDADES EDUCATIVAS</t>
  </si>
  <si>
    <t>OUVIDOR PUBLICO</t>
  </si>
  <si>
    <t>GERENTE ADMINISTRATIVO DO CEAMI XL = CC3-A</t>
  </si>
  <si>
    <t>PROFESSOR DA EDUCAÃ‡ÃƒO BÃSICA</t>
  </si>
  <si>
    <t>TECNICO AGRICOLA</t>
  </si>
  <si>
    <t>ASSISTENTE DE GESTÃƒO ADMINISTRATIVA</t>
  </si>
  <si>
    <t>SECRETARIO DE CAMARA ISOLADA</t>
  </si>
  <si>
    <t>AGENTE DE APOIO EDUCACIONAL III</t>
  </si>
  <si>
    <t>ASSESSOR - A</t>
  </si>
  <si>
    <t>OFICIAL DE REGISTRO CIVIL-OFICIALIZADO-O</t>
  </si>
  <si>
    <t>GESTOR DE TECNOLOGIA DA INFORMAÃ‡ÃƒO</t>
  </si>
  <si>
    <t>JUIZ DE DIREITO 1Âª ENTRANCIA</t>
  </si>
  <si>
    <t>DISTRIBUIDOR E PARTIDOR JUDICIARIO II (ANALISTA JUDICIARIO - AREA JUDICIARIA) - LEI NÂº 17.663/2012, ANEXO VIII</t>
  </si>
  <si>
    <t>AUXILIAR DE DESENVOLVIMENTO INFANTIL</t>
  </si>
  <si>
    <t>TELEFONISTA</t>
  </si>
  <si>
    <t>AUXILIAR OPERACIONAL</t>
  </si>
  <si>
    <t>ASSISTENTE ADMINISTRATIVO</t>
  </si>
  <si>
    <t>MOTORISTA</t>
  </si>
  <si>
    <t>MEDICO</t>
  </si>
  <si>
    <t>VIGILANTE</t>
  </si>
  <si>
    <t>ASSISTENTE DE RECURSOS HUMANOS</t>
  </si>
  <si>
    <t>EXECUTOR ADMINISTRATIVO</t>
  </si>
  <si>
    <t>RECEPCIONISTA</t>
  </si>
  <si>
    <t>AUXILIAR DE SERVICOS DE HIGIENE E ALIMENTACAO</t>
  </si>
  <si>
    <t>ESCRITURÃRIO II</t>
  </si>
  <si>
    <t>CUIDADOR</t>
  </si>
  <si>
    <t>PROFISSIONAL DE EDUCACAO II</t>
  </si>
  <si>
    <t>PROFESSOR PIII - NIVEL A</t>
  </si>
  <si>
    <t>JUIZ DE DIREITO 2Âª ENTRANCIA</t>
  </si>
  <si>
    <t>VIGIA</t>
  </si>
  <si>
    <t>RECREADOR</t>
  </si>
  <si>
    <t>OPERADOR DE COMPUTADOR</t>
  </si>
  <si>
    <t>ZELADORA</t>
  </si>
  <si>
    <t>EXECUTOR DE SERVIÃ‡OS AUXILIARES I</t>
  </si>
  <si>
    <t>PROFISSIONAL DO MAGISTÃ‰RIO</t>
  </si>
  <si>
    <t>AUXILIAR ADMINISTRATIVO - SERVIÃ‡OS GERAIS</t>
  </si>
  <si>
    <t>AGENTE COMUNITARIO DE SAUDE</t>
  </si>
  <si>
    <t>CONTADOR JUDICIARIO III (ANALISTA JUDICIARIO - AREA ESPECIALIZADA) - LEI NÂº 17.663/2012, ANEXO IX</t>
  </si>
  <si>
    <t>BIBLIOTECARIO</t>
  </si>
  <si>
    <t>GARI</t>
  </si>
  <si>
    <t>AUXILIAR DE SERVIÃ‡OS GERAIS III</t>
  </si>
  <si>
    <t>AGENTE DE INSPECAO</t>
  </si>
  <si>
    <t>AGENTE ADMINISTRATIVO II</t>
  </si>
  <si>
    <t>AUXILIAR DE CMEI</t>
  </si>
  <si>
    <t>MÃ‰DICO</t>
  </si>
  <si>
    <t>AUXILIAR BIBLIOTECARIO</t>
  </si>
  <si>
    <t>ANALISTA JUDICIARIO</t>
  </si>
  <si>
    <t>AUDITOR</t>
  </si>
  <si>
    <t>DISTRIBUIDOR JUDICIARIO II (ANALISTA JUDICIARIO - AREA JUDICIARIA) - LEI NÂº 17.663/2012, ANEXO VIII</t>
  </si>
  <si>
    <t>FISCAL DE POSTURA</t>
  </si>
  <si>
    <t>FISCAL DE TRIBUTOS</t>
  </si>
  <si>
    <t>ESCRITURARIA</t>
  </si>
  <si>
    <t>ANALISTA DE GESTÃƒO ADMINISTRATIVA</t>
  </si>
  <si>
    <t>ASSISTENTE LEGISLATIVO</t>
  </si>
  <si>
    <t>SERVENTE DE LIMPEZA</t>
  </si>
  <si>
    <t>PSICÃ“LOGA</t>
  </si>
  <si>
    <t>OPERADOR DE MAQUINA LEVE</t>
  </si>
  <si>
    <t>TECNICO ADMINISTRATIVO EXECUTIVO</t>
  </si>
  <si>
    <t>PROFESSOR PIII</t>
  </si>
  <si>
    <t>JARDINEIRO</t>
  </si>
  <si>
    <t>SECRETARIO ASSISTENTE</t>
  </si>
  <si>
    <t>PSICOLOGO</t>
  </si>
  <si>
    <t>ARQUITETO</t>
  </si>
  <si>
    <t>DEPOSITARIO JUDICIARIO III (ANEXO III - LEI NÂº 17.663/2012)</t>
  </si>
  <si>
    <t>AGENTE ADMINISTRATIVO "A"</t>
  </si>
  <si>
    <t>AGENTE DE POLICIA</t>
  </si>
  <si>
    <t>DISTRIBUIDOR JUDICIARIO III (ANALISTA JUDICIARIO - AREA JUDICIARIA) - LEI NÂº 17.663/2012, ANEXO VIII</t>
  </si>
  <si>
    <t>FISCAL DE MEIO AMBIENTE E TURISMO</t>
  </si>
  <si>
    <t>AUDITOR DE SISTEMAS E SERVICOS DE SAUDE</t>
  </si>
  <si>
    <t>AUXILIAR ADMINISTRATIVO II</t>
  </si>
  <si>
    <t>ANALISTA DE COMUNICAÃ‡ÃƒO</t>
  </si>
  <si>
    <t>PROFESSOR II</t>
  </si>
  <si>
    <t>ASSISTENTE DE PORTADORES DE NECESSIDADES ESPECIAIS</t>
  </si>
  <si>
    <t>AGENTE DE SERVIÃ‡O SOCIAL</t>
  </si>
  <si>
    <t>AUXILIAR DE SERVIÃ‡OS</t>
  </si>
  <si>
    <t>INSTRUTOR DE ESPORTES</t>
  </si>
  <si>
    <t>AGENTE DE TRANSITO</t>
  </si>
  <si>
    <t>AGENTE DE SERV. DE HIGIENE E ALIMENTACAO</t>
  </si>
  <si>
    <t>AUXILIAR DE EDUCAÃ‡ÃƒO</t>
  </si>
  <si>
    <t>ASSISTENTE ADMINISTRATIVO EDUCACIONAL</t>
  </si>
  <si>
    <t>ANALISTA LEGISLATIVO</t>
  </si>
  <si>
    <t>SECRETARIO AUXILIAR</t>
  </si>
  <si>
    <t>AGENTE DE COMBATES Ã€S ENDEMIAS</t>
  </si>
  <si>
    <t>DIGITADOR DE MICRO COMPUTADOR</t>
  </si>
  <si>
    <t>AGENTE DE ADMINISTRAÃ‡ÃƒO PÃšBLICA</t>
  </si>
  <si>
    <t>ASSISTENTE DE EDUCAÃ‡ÃƒO INFANTIL</t>
  </si>
  <si>
    <t>ESCRIVAO I</t>
  </si>
  <si>
    <t>PEDAGOGO</t>
  </si>
  <si>
    <t>AGENTE DE TRÃ‚NSITO</t>
  </si>
  <si>
    <t>TELEFONISTA DE PABX</t>
  </si>
  <si>
    <t>ASSESSOR ADMINISTRATIVO</t>
  </si>
  <si>
    <t>AUXILIAR DE DEPARTAMENTO</t>
  </si>
  <si>
    <t>AUXILIAR DE LIMPEZA</t>
  </si>
  <si>
    <t>AUXILIAR OPERACIONAL DE SERVIÃ‡OS</t>
  </si>
  <si>
    <t>AGENTE DE RECREAÃ‡ÃƒO</t>
  </si>
  <si>
    <t>PROFESSOR</t>
  </si>
  <si>
    <t>ESCRIVAO DA FAZENDA PUBLICA E CIVEL 3 ENT</t>
  </si>
  <si>
    <t>TRABALHADOR BRAÃ‡AL</t>
  </si>
  <si>
    <t>SERVENTE</t>
  </si>
  <si>
    <t>TRABALHADOR DE LIMPEZA URBANA</t>
  </si>
  <si>
    <t>OFICIAL DE REGISTRO CIVIL-OFICIALIZADO-O II</t>
  </si>
  <si>
    <t>PSICOLOGA</t>
  </si>
  <si>
    <t>ANALISTA ADMINISTRATIVO</t>
  </si>
  <si>
    <t>COMISSARIO DE VIGILANCIA DE MENORES</t>
  </si>
  <si>
    <t>PROFESSOR I</t>
  </si>
  <si>
    <t>AGENTE DE SERVICO ADMINISTRATIVO</t>
  </si>
  <si>
    <t>MONITOR DE EDUCAÃ‡ÃƒO NÃVEL 1</t>
  </si>
  <si>
    <t>AGENTE OPERACIONAL</t>
  </si>
  <si>
    <t>PSICÃ“LOGO</t>
  </si>
  <si>
    <t>AGENTE DE HIGIENE E ALIMENTAÃ‡ÃƒO</t>
  </si>
  <si>
    <t>AGENTE LEGISLATIVO</t>
  </si>
  <si>
    <t>RECEPCIONISTA NIVEL II</t>
  </si>
  <si>
    <t>FISCAL DE TRANSPORTE COLETIVO</t>
  </si>
  <si>
    <t>ANALISTA DE GESTÃƒO GOVERNAMENTAL</t>
  </si>
  <si>
    <t>AGENTE EDUCATIVO</t>
  </si>
  <si>
    <t>AGENTE PENITENCIÃRIO</t>
  </si>
  <si>
    <t>TECNICO EM ENFERMAGEM</t>
  </si>
  <si>
    <t>RECEPCIONISTA/TELEFONISTA</t>
  </si>
  <si>
    <t>GUARDA MUNICIPAL</t>
  </si>
  <si>
    <t>MECANICO DE MAQUINAS</t>
  </si>
  <si>
    <t>AUXILIAR DE SERVICOS ADMINISTRATIVOS</t>
  </si>
  <si>
    <t>AGENTE EDUCACIONAL</t>
  </si>
  <si>
    <t>DELEGADO (A)</t>
  </si>
  <si>
    <t>ASSISTENTE TECNICO PROFISSIONAL</t>
  </si>
  <si>
    <t>FISCAL DE TRIBUTOS MUNICIPAL</t>
  </si>
  <si>
    <t>AGENTE DE COMBATE AS ENDEMIAS</t>
  </si>
  <si>
    <t>AUXILIAR DE ATIVIDADES EDUCATIVAS I</t>
  </si>
  <si>
    <t>AUXILIAR DE SERVICO SOCIAL</t>
  </si>
  <si>
    <t>AGENTE DE MANUTENÃ‡ÃƒO MECANICA</t>
  </si>
  <si>
    <t>PROFESSORA</t>
  </si>
  <si>
    <t>ANALISTA DE LICITACAO</t>
  </si>
  <si>
    <t>GUARDA CIVIL MUNICIPAL</t>
  </si>
  <si>
    <t>TJGO</t>
  </si>
  <si>
    <t>TÉCNICO EM GESTÃƒO PÃšBLICA</t>
  </si>
  <si>
    <t>TÉCNICO EM ENFERMAGEM</t>
  </si>
  <si>
    <t>ANALISTA TÉCNICO - ADMINISTRADOR</t>
  </si>
  <si>
    <t>TÉCNICO EM INFORMÃTICA</t>
  </si>
  <si>
    <t>TÉCNICO CONTÃBIL VII</t>
  </si>
  <si>
    <t>ANALISTA DE SUPORTE TÉCNICO SUPERIOR</t>
  </si>
  <si>
    <t>OFICIAL DE JUSTIÇA-AVALIADOR JUDICIARIO III (ANALISTA JUDICIARIO - AREA JUDICIARIA - OFICIAL DE JUSTIÇA AVALIADOR) - LEI NÂº 17.663/2012, ANEXO VIII</t>
  </si>
  <si>
    <t>OFICIAL DE JUSTIÇA-AVALIADOR JUDICIARIO II (ANALISTA JUDICIARIO - AREA JUDICIARIA - OFICIAL DE JUSTIÇA AVALIADOR) - LEI NÂº 17.663/2012, ANEXO VIII</t>
  </si>
  <si>
    <t>OFICIAL DE JUSTIÇA-AVALIADOR JUDICIARIO I (ANALISTA JUDICIARIO - AREA JUDICIARIA - OFICIAL DE JUSTIÇA AVALIADOR) - LEI NÂº 17.663/2012, ANEXO VIII</t>
  </si>
  <si>
    <t>ANALISTA JUDICIÃRIO - ÃREA JUDICIÃRIA - OFICIAL DE JUSTIÇA AVALIADOR</t>
  </si>
  <si>
    <t>OFICIAL DE JUSTIÇA (ANALISTA JUDICIARIO - AREA JUDICIARIA - OFICIAL DE JUSTIÇA AVALIADOR) - LEI NÂº 17.663/2012, ANEXO VIII</t>
  </si>
  <si>
    <t>OFICIAL DE JUSTIÇA-AVALIADOR JUDICIARIO QS II (ANALISTA JUDICIARIO - AREA JUDICIARIA - OFICIAL DE JUSTIÇA AVALIADOR) - LEI NÂº 17.663/2012, ANEXO VIII</t>
  </si>
  <si>
    <t>OFICIAL DE JUSTIÇA - QS</t>
  </si>
  <si>
    <t>OFICIAL DE JUSTIÇA-AVALIADOR JUDICIARIO QS III (ANALISTA JUDICIARIO - AREA JUDICIARIA - OFICIAL DE JUSTIÇA AVALIADOR) - LEI NÂº 17.663/2012, ANEXO IX</t>
  </si>
  <si>
    <t>AGENTE DE SEGURANÇA PRISIONAL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</si>
</sst>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CCCCCC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5" xfId="0" applyBorder="1"/>
    <xf numFmtId="0" fontId="0" fillId="0" borderId="10" xfId="0" applyBorder="1"/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22" xfId="0" applyBorder="1"/>
    <xf numFmtId="0" fontId="0" fillId="0" borderId="17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3272-9058-47A0-BAD9-0C061AEDAB52}">
  <dimension ref="A1:G217"/>
  <sheetViews>
    <sheetView tabSelected="1" topLeftCell="D1" workbookViewId="0">
      <selection activeCell="F12" sqref="F12"/>
    </sheetView>
  </sheetViews>
  <sheetFormatPr defaultRowHeight="14.4" x14ac:dyDescent="0.3"/>
  <cols>
    <col min="1" max="1" width="25.44140625" bestFit="1" customWidth="1"/>
    <col min="2" max="2" width="48.44140625" bestFit="1" customWidth="1"/>
    <col min="3" max="3" width="25.44140625" bestFit="1" customWidth="1"/>
    <col min="4" max="4" width="37.21875" bestFit="1" customWidth="1"/>
    <col min="5" max="5" width="25.44140625" bestFit="1" customWidth="1"/>
    <col min="6" max="6" width="133" bestFit="1" customWidth="1"/>
    <col min="7" max="7" width="25.44140625" bestFit="1" customWidth="1"/>
  </cols>
  <sheetData>
    <row r="1" spans="1:7" x14ac:dyDescent="0.3">
      <c r="A1" s="13" t="s">
        <v>0</v>
      </c>
      <c r="B1" s="15" t="s">
        <v>1</v>
      </c>
      <c r="C1" s="15"/>
      <c r="D1" s="15" t="s">
        <v>2</v>
      </c>
      <c r="E1" s="17"/>
      <c r="F1" s="22" t="s">
        <v>511</v>
      </c>
      <c r="G1" s="16"/>
    </row>
    <row r="2" spans="1:7" ht="15" thickBot="1" x14ac:dyDescent="0.35">
      <c r="A2" s="14"/>
      <c r="B2" s="10" t="s">
        <v>3</v>
      </c>
      <c r="C2" s="10" t="s">
        <v>4</v>
      </c>
      <c r="D2" s="10" t="s">
        <v>5</v>
      </c>
      <c r="E2" s="18" t="s">
        <v>4</v>
      </c>
      <c r="F2" s="25" t="s">
        <v>5</v>
      </c>
      <c r="G2" s="11" t="s">
        <v>4</v>
      </c>
    </row>
    <row r="3" spans="1:7" x14ac:dyDescent="0.3">
      <c r="A3" s="2" t="s">
        <v>6</v>
      </c>
      <c r="B3" s="5" t="s">
        <v>7</v>
      </c>
      <c r="C3" s="6" t="s">
        <v>6</v>
      </c>
      <c r="D3" s="5" t="s">
        <v>8</v>
      </c>
      <c r="E3" s="19" t="s">
        <v>9</v>
      </c>
      <c r="F3" s="23" t="s">
        <v>314</v>
      </c>
      <c r="G3" s="24" t="s">
        <v>9</v>
      </c>
    </row>
    <row r="4" spans="1:7" x14ac:dyDescent="0.3">
      <c r="A4" s="3" t="s">
        <v>10</v>
      </c>
      <c r="B4" s="7" t="s">
        <v>11</v>
      </c>
      <c r="C4" s="8" t="s">
        <v>10</v>
      </c>
      <c r="D4" s="7" t="s">
        <v>12</v>
      </c>
      <c r="E4" s="20" t="s">
        <v>6</v>
      </c>
      <c r="F4" s="7" t="s">
        <v>315</v>
      </c>
      <c r="G4" s="8" t="s">
        <v>29</v>
      </c>
    </row>
    <row r="5" spans="1:7" x14ac:dyDescent="0.3">
      <c r="A5" s="3" t="s">
        <v>13</v>
      </c>
      <c r="B5" s="7" t="s">
        <v>14</v>
      </c>
      <c r="C5" s="8" t="s">
        <v>13</v>
      </c>
      <c r="D5" s="7" t="s">
        <v>15</v>
      </c>
      <c r="E5" s="20" t="s">
        <v>6</v>
      </c>
      <c r="F5" s="7"/>
      <c r="G5" s="8" t="s">
        <v>36</v>
      </c>
    </row>
    <row r="6" spans="1:7" x14ac:dyDescent="0.3">
      <c r="A6" s="3" t="s">
        <v>16</v>
      </c>
      <c r="B6" s="7" t="s">
        <v>17</v>
      </c>
      <c r="C6" s="8" t="s">
        <v>16</v>
      </c>
      <c r="D6" s="7" t="s">
        <v>18</v>
      </c>
      <c r="E6" s="20" t="s">
        <v>19</v>
      </c>
      <c r="F6" s="7" t="s">
        <v>316</v>
      </c>
      <c r="G6" s="8" t="s">
        <v>26</v>
      </c>
    </row>
    <row r="7" spans="1:7" x14ac:dyDescent="0.3">
      <c r="A7" s="3" t="s">
        <v>20</v>
      </c>
      <c r="B7" s="7" t="s">
        <v>21</v>
      </c>
      <c r="C7" s="8" t="s">
        <v>20</v>
      </c>
      <c r="D7" s="7" t="s">
        <v>22</v>
      </c>
      <c r="E7" s="20" t="s">
        <v>23</v>
      </c>
      <c r="F7" s="7" t="s">
        <v>317</v>
      </c>
      <c r="G7" s="8" t="s">
        <v>29</v>
      </c>
    </row>
    <row r="8" spans="1:7" x14ac:dyDescent="0.3">
      <c r="A8" s="3" t="s">
        <v>9</v>
      </c>
      <c r="B8" s="7" t="s">
        <v>24</v>
      </c>
      <c r="C8" s="8" t="s">
        <v>20</v>
      </c>
      <c r="D8" s="7" t="s">
        <v>25</v>
      </c>
      <c r="E8" s="20" t="s">
        <v>6</v>
      </c>
      <c r="F8" s="7" t="s">
        <v>318</v>
      </c>
      <c r="G8" s="8" t="s">
        <v>10</v>
      </c>
    </row>
    <row r="9" spans="1:7" x14ac:dyDescent="0.3">
      <c r="A9" s="3" t="s">
        <v>26</v>
      </c>
      <c r="B9" s="7" t="s">
        <v>27</v>
      </c>
      <c r="C9" s="8" t="s">
        <v>9</v>
      </c>
      <c r="D9" s="7" t="s">
        <v>28</v>
      </c>
      <c r="E9" s="20" t="s">
        <v>10</v>
      </c>
      <c r="F9" s="7" t="s">
        <v>319</v>
      </c>
      <c r="G9" s="8" t="s">
        <v>36</v>
      </c>
    </row>
    <row r="10" spans="1:7" x14ac:dyDescent="0.3">
      <c r="A10" s="3" t="s">
        <v>29</v>
      </c>
      <c r="B10" s="7" t="s">
        <v>30</v>
      </c>
      <c r="C10" s="8" t="s">
        <v>6</v>
      </c>
      <c r="D10" s="7" t="s">
        <v>31</v>
      </c>
      <c r="E10" s="20" t="s">
        <v>16</v>
      </c>
      <c r="F10" s="7" t="s">
        <v>320</v>
      </c>
      <c r="G10" s="8" t="s">
        <v>6</v>
      </c>
    </row>
    <row r="11" spans="1:7" x14ac:dyDescent="0.3">
      <c r="A11" s="3" t="s">
        <v>23</v>
      </c>
      <c r="B11" s="7" t="s">
        <v>32</v>
      </c>
      <c r="C11" s="8" t="s">
        <v>16</v>
      </c>
      <c r="D11" s="7" t="s">
        <v>33</v>
      </c>
      <c r="E11" s="20" t="s">
        <v>6</v>
      </c>
      <c r="F11" s="7" t="s">
        <v>321</v>
      </c>
      <c r="G11" s="8" t="s">
        <v>6</v>
      </c>
    </row>
    <row r="12" spans="1:7" x14ac:dyDescent="0.3">
      <c r="A12" s="3" t="s">
        <v>19</v>
      </c>
      <c r="B12" s="7" t="s">
        <v>34</v>
      </c>
      <c r="C12" s="8" t="s">
        <v>16</v>
      </c>
      <c r="D12" s="7" t="s">
        <v>35</v>
      </c>
      <c r="E12" s="20" t="s">
        <v>29</v>
      </c>
      <c r="F12" s="7" t="s">
        <v>322</v>
      </c>
      <c r="G12" s="8" t="s">
        <v>29</v>
      </c>
    </row>
    <row r="13" spans="1:7" ht="15" thickBot="1" x14ac:dyDescent="0.35">
      <c r="A13" s="4" t="s">
        <v>36</v>
      </c>
      <c r="B13" s="7" t="s">
        <v>37</v>
      </c>
      <c r="C13" s="8" t="s">
        <v>26</v>
      </c>
      <c r="D13" s="7" t="s">
        <v>13</v>
      </c>
      <c r="E13" s="20" t="s">
        <v>13</v>
      </c>
      <c r="F13" s="7" t="s">
        <v>518</v>
      </c>
      <c r="G13" s="8" t="s">
        <v>13</v>
      </c>
    </row>
    <row r="14" spans="1:7" ht="15" thickBot="1" x14ac:dyDescent="0.35">
      <c r="B14" s="7" t="s">
        <v>38</v>
      </c>
      <c r="C14" s="8" t="s">
        <v>20</v>
      </c>
      <c r="D14" s="9" t="s">
        <v>39</v>
      </c>
      <c r="E14" s="21" t="s">
        <v>23</v>
      </c>
      <c r="F14" s="7" t="s">
        <v>323</v>
      </c>
      <c r="G14" s="8" t="s">
        <v>36</v>
      </c>
    </row>
    <row r="15" spans="1:7" x14ac:dyDescent="0.3">
      <c r="B15" s="7" t="s">
        <v>40</v>
      </c>
      <c r="C15" s="8" t="s">
        <v>16</v>
      </c>
      <c r="F15" s="7" t="s">
        <v>519</v>
      </c>
      <c r="G15" s="8" t="s">
        <v>13</v>
      </c>
    </row>
    <row r="16" spans="1:7" x14ac:dyDescent="0.3">
      <c r="B16" s="7" t="s">
        <v>41</v>
      </c>
      <c r="C16" s="8" t="s">
        <v>16</v>
      </c>
      <c r="F16" s="7" t="s">
        <v>324</v>
      </c>
      <c r="G16" s="8" t="s">
        <v>26</v>
      </c>
    </row>
    <row r="17" spans="2:7" x14ac:dyDescent="0.3">
      <c r="B17" s="7" t="s">
        <v>42</v>
      </c>
      <c r="C17" s="8" t="s">
        <v>20</v>
      </c>
      <c r="F17" s="7" t="s">
        <v>325</v>
      </c>
      <c r="G17" s="8" t="s">
        <v>6</v>
      </c>
    </row>
    <row r="18" spans="2:7" x14ac:dyDescent="0.3">
      <c r="B18" s="7" t="s">
        <v>43</v>
      </c>
      <c r="C18" s="8" t="s">
        <v>29</v>
      </c>
      <c r="F18" s="7" t="s">
        <v>326</v>
      </c>
      <c r="G18" s="8" t="s">
        <v>26</v>
      </c>
    </row>
    <row r="19" spans="2:7" x14ac:dyDescent="0.3">
      <c r="B19" s="7" t="s">
        <v>44</v>
      </c>
      <c r="C19" s="8" t="s">
        <v>16</v>
      </c>
      <c r="F19" s="7" t="s">
        <v>327</v>
      </c>
      <c r="G19" s="8" t="s">
        <v>26</v>
      </c>
    </row>
    <row r="20" spans="2:7" x14ac:dyDescent="0.3">
      <c r="B20" s="7" t="s">
        <v>45</v>
      </c>
      <c r="C20" s="8" t="s">
        <v>10</v>
      </c>
      <c r="F20" s="7" t="s">
        <v>328</v>
      </c>
      <c r="G20" s="8" t="s">
        <v>6</v>
      </c>
    </row>
    <row r="21" spans="2:7" x14ac:dyDescent="0.3">
      <c r="B21" s="7" t="s">
        <v>46</v>
      </c>
      <c r="C21" s="8" t="s">
        <v>16</v>
      </c>
      <c r="F21" s="7" t="s">
        <v>520</v>
      </c>
      <c r="G21" s="8" t="s">
        <v>13</v>
      </c>
    </row>
    <row r="22" spans="2:7" x14ac:dyDescent="0.3">
      <c r="B22" s="7" t="s">
        <v>47</v>
      </c>
      <c r="C22" s="8" t="s">
        <v>23</v>
      </c>
      <c r="F22" s="7" t="s">
        <v>45</v>
      </c>
      <c r="G22" s="8" t="s">
        <v>10</v>
      </c>
    </row>
    <row r="23" spans="2:7" x14ac:dyDescent="0.3">
      <c r="B23" s="7" t="s">
        <v>48</v>
      </c>
      <c r="C23" s="8" t="s">
        <v>6</v>
      </c>
      <c r="F23" s="7" t="s">
        <v>329</v>
      </c>
      <c r="G23" s="8" t="s">
        <v>10</v>
      </c>
    </row>
    <row r="24" spans="2:7" x14ac:dyDescent="0.3">
      <c r="B24" s="7" t="s">
        <v>49</v>
      </c>
      <c r="C24" s="8" t="s">
        <v>26</v>
      </c>
      <c r="F24" s="7" t="s">
        <v>330</v>
      </c>
      <c r="G24" s="8" t="s">
        <v>36</v>
      </c>
    </row>
    <row r="25" spans="2:7" x14ac:dyDescent="0.3">
      <c r="B25" s="7" t="s">
        <v>50</v>
      </c>
      <c r="C25" s="8" t="s">
        <v>26</v>
      </c>
      <c r="F25" s="7" t="s">
        <v>521</v>
      </c>
      <c r="G25" s="8" t="s">
        <v>13</v>
      </c>
    </row>
    <row r="26" spans="2:7" x14ac:dyDescent="0.3">
      <c r="B26" s="7" t="s">
        <v>51</v>
      </c>
      <c r="C26" s="8" t="s">
        <v>29</v>
      </c>
      <c r="F26" s="7" t="s">
        <v>331</v>
      </c>
      <c r="G26" s="8" t="s">
        <v>26</v>
      </c>
    </row>
    <row r="27" spans="2:7" x14ac:dyDescent="0.3">
      <c r="B27" s="7" t="s">
        <v>52</v>
      </c>
      <c r="C27" s="8" t="s">
        <v>16</v>
      </c>
      <c r="F27" s="7" t="s">
        <v>332</v>
      </c>
      <c r="G27" s="8" t="s">
        <v>26</v>
      </c>
    </row>
    <row r="28" spans="2:7" x14ac:dyDescent="0.3">
      <c r="B28" s="7" t="s">
        <v>53</v>
      </c>
      <c r="C28" s="8" t="s">
        <v>16</v>
      </c>
      <c r="F28" s="7" t="s">
        <v>333</v>
      </c>
      <c r="G28" s="8" t="s">
        <v>10</v>
      </c>
    </row>
    <row r="29" spans="2:7" x14ac:dyDescent="0.3">
      <c r="B29" s="7" t="s">
        <v>54</v>
      </c>
      <c r="C29" s="8" t="s">
        <v>6</v>
      </c>
      <c r="F29" s="7" t="s">
        <v>334</v>
      </c>
      <c r="G29" s="8" t="s">
        <v>29</v>
      </c>
    </row>
    <row r="30" spans="2:7" x14ac:dyDescent="0.3">
      <c r="B30" s="7" t="s">
        <v>55</v>
      </c>
      <c r="C30" s="8" t="s">
        <v>16</v>
      </c>
      <c r="F30" s="7" t="s">
        <v>335</v>
      </c>
      <c r="G30" s="8" t="s">
        <v>9</v>
      </c>
    </row>
    <row r="31" spans="2:7" x14ac:dyDescent="0.3">
      <c r="B31" s="7" t="s">
        <v>56</v>
      </c>
      <c r="C31" s="8" t="s">
        <v>16</v>
      </c>
      <c r="F31" s="7" t="s">
        <v>336</v>
      </c>
      <c r="G31" s="8" t="s">
        <v>6</v>
      </c>
    </row>
    <row r="32" spans="2:7" x14ac:dyDescent="0.3">
      <c r="B32" s="7" t="s">
        <v>57</v>
      </c>
      <c r="C32" s="8" t="s">
        <v>26</v>
      </c>
      <c r="F32" s="7" t="s">
        <v>337</v>
      </c>
      <c r="G32" s="8" t="s">
        <v>36</v>
      </c>
    </row>
    <row r="33" spans="2:7" x14ac:dyDescent="0.3">
      <c r="B33" s="7" t="s">
        <v>58</v>
      </c>
      <c r="C33" s="8" t="s">
        <v>16</v>
      </c>
      <c r="F33" s="7" t="s">
        <v>338</v>
      </c>
      <c r="G33" s="8" t="s">
        <v>29</v>
      </c>
    </row>
    <row r="34" spans="2:7" x14ac:dyDescent="0.3">
      <c r="B34" s="7" t="s">
        <v>59</v>
      </c>
      <c r="C34" s="8" t="s">
        <v>6</v>
      </c>
      <c r="F34" s="7" t="s">
        <v>339</v>
      </c>
      <c r="G34" s="8" t="s">
        <v>36</v>
      </c>
    </row>
    <row r="35" spans="2:7" x14ac:dyDescent="0.3">
      <c r="B35" s="7" t="s">
        <v>60</v>
      </c>
      <c r="C35" s="8" t="s">
        <v>9</v>
      </c>
      <c r="F35" s="7" t="s">
        <v>340</v>
      </c>
      <c r="G35" s="8" t="s">
        <v>36</v>
      </c>
    </row>
    <row r="36" spans="2:7" x14ac:dyDescent="0.3">
      <c r="B36" s="7" t="s">
        <v>61</v>
      </c>
      <c r="C36" s="8" t="s">
        <v>6</v>
      </c>
      <c r="F36" s="7" t="s">
        <v>341</v>
      </c>
      <c r="G36" s="8" t="s">
        <v>29</v>
      </c>
    </row>
    <row r="37" spans="2:7" x14ac:dyDescent="0.3">
      <c r="B37" s="7" t="s">
        <v>62</v>
      </c>
      <c r="C37" s="8" t="s">
        <v>16</v>
      </c>
      <c r="F37" s="7" t="s">
        <v>342</v>
      </c>
      <c r="G37" s="8" t="s">
        <v>6</v>
      </c>
    </row>
    <row r="38" spans="2:7" x14ac:dyDescent="0.3">
      <c r="B38" s="7" t="s">
        <v>63</v>
      </c>
      <c r="C38" s="8" t="s">
        <v>16</v>
      </c>
      <c r="F38" s="7" t="s">
        <v>343</v>
      </c>
      <c r="G38" s="8" t="s">
        <v>10</v>
      </c>
    </row>
    <row r="39" spans="2:7" x14ac:dyDescent="0.3">
      <c r="B39" s="7" t="s">
        <v>64</v>
      </c>
      <c r="C39" s="8" t="s">
        <v>16</v>
      </c>
      <c r="F39" s="7" t="s">
        <v>344</v>
      </c>
      <c r="G39" s="8" t="s">
        <v>6</v>
      </c>
    </row>
    <row r="40" spans="2:7" x14ac:dyDescent="0.3">
      <c r="B40" s="7" t="s">
        <v>65</v>
      </c>
      <c r="C40" s="8" t="s">
        <v>9</v>
      </c>
      <c r="F40" s="7" t="s">
        <v>345</v>
      </c>
      <c r="G40" s="8" t="s">
        <v>6</v>
      </c>
    </row>
    <row r="41" spans="2:7" x14ac:dyDescent="0.3">
      <c r="B41" s="7" t="s">
        <v>66</v>
      </c>
      <c r="C41" s="8" t="s">
        <v>6</v>
      </c>
      <c r="F41" s="7" t="s">
        <v>346</v>
      </c>
      <c r="G41" s="8" t="s">
        <v>29</v>
      </c>
    </row>
    <row r="42" spans="2:7" x14ac:dyDescent="0.3">
      <c r="B42" s="7" t="s">
        <v>67</v>
      </c>
      <c r="C42" s="8" t="s">
        <v>16</v>
      </c>
      <c r="F42" s="7" t="s">
        <v>347</v>
      </c>
      <c r="G42" s="8" t="s">
        <v>9</v>
      </c>
    </row>
    <row r="43" spans="2:7" x14ac:dyDescent="0.3">
      <c r="B43" s="7" t="s">
        <v>68</v>
      </c>
      <c r="C43" s="8" t="s">
        <v>6</v>
      </c>
      <c r="F43" s="7" t="s">
        <v>348</v>
      </c>
      <c r="G43" s="8" t="s">
        <v>6</v>
      </c>
    </row>
    <row r="44" spans="2:7" x14ac:dyDescent="0.3">
      <c r="B44" s="7" t="s">
        <v>69</v>
      </c>
      <c r="C44" s="8" t="s">
        <v>10</v>
      </c>
      <c r="F44" s="7" t="s">
        <v>349</v>
      </c>
      <c r="G44" s="8" t="s">
        <v>10</v>
      </c>
    </row>
    <row r="45" spans="2:7" x14ac:dyDescent="0.3">
      <c r="B45" s="7" t="s">
        <v>70</v>
      </c>
      <c r="C45" s="8" t="s">
        <v>6</v>
      </c>
      <c r="F45" s="7" t="s">
        <v>522</v>
      </c>
      <c r="G45" s="8" t="s">
        <v>13</v>
      </c>
    </row>
    <row r="46" spans="2:7" x14ac:dyDescent="0.3">
      <c r="B46" s="7" t="s">
        <v>71</v>
      </c>
      <c r="C46" s="8" t="s">
        <v>29</v>
      </c>
      <c r="F46" s="7" t="s">
        <v>523</v>
      </c>
      <c r="G46" s="8" t="s">
        <v>13</v>
      </c>
    </row>
    <row r="47" spans="2:7" x14ac:dyDescent="0.3">
      <c r="B47" s="7" t="s">
        <v>72</v>
      </c>
      <c r="C47" s="8" t="s">
        <v>26</v>
      </c>
      <c r="F47" s="7" t="s">
        <v>350</v>
      </c>
      <c r="G47" s="8" t="s">
        <v>29</v>
      </c>
    </row>
    <row r="48" spans="2:7" x14ac:dyDescent="0.3">
      <c r="B48" s="7" t="s">
        <v>73</v>
      </c>
      <c r="C48" s="8" t="s">
        <v>16</v>
      </c>
      <c r="F48" s="7" t="s">
        <v>524</v>
      </c>
      <c r="G48" s="8" t="s">
        <v>13</v>
      </c>
    </row>
    <row r="49" spans="2:7" x14ac:dyDescent="0.3">
      <c r="B49" s="7" t="s">
        <v>74</v>
      </c>
      <c r="C49" s="8" t="s">
        <v>16</v>
      </c>
      <c r="F49" s="7" t="s">
        <v>351</v>
      </c>
      <c r="G49" s="8" t="s">
        <v>26</v>
      </c>
    </row>
    <row r="50" spans="2:7" x14ac:dyDescent="0.3">
      <c r="B50" s="7" t="s">
        <v>75</v>
      </c>
      <c r="C50" s="8" t="s">
        <v>26</v>
      </c>
      <c r="F50" s="7" t="s">
        <v>352</v>
      </c>
      <c r="G50" s="8" t="s">
        <v>6</v>
      </c>
    </row>
    <row r="51" spans="2:7" x14ac:dyDescent="0.3">
      <c r="B51" s="7" t="s">
        <v>76</v>
      </c>
      <c r="C51" s="8" t="s">
        <v>16</v>
      </c>
      <c r="F51" s="7" t="s">
        <v>353</v>
      </c>
      <c r="G51" s="8" t="s">
        <v>6</v>
      </c>
    </row>
    <row r="52" spans="2:7" x14ac:dyDescent="0.3">
      <c r="B52" s="7" t="s">
        <v>77</v>
      </c>
      <c r="C52" s="8" t="s">
        <v>6</v>
      </c>
      <c r="F52" s="7" t="s">
        <v>354</v>
      </c>
      <c r="G52" s="8" t="s">
        <v>36</v>
      </c>
    </row>
    <row r="53" spans="2:7" x14ac:dyDescent="0.3">
      <c r="B53" s="7" t="s">
        <v>78</v>
      </c>
      <c r="C53" s="8" t="s">
        <v>16</v>
      </c>
      <c r="F53" s="7" t="s">
        <v>355</v>
      </c>
      <c r="G53" s="8" t="s">
        <v>9</v>
      </c>
    </row>
    <row r="54" spans="2:7" x14ac:dyDescent="0.3">
      <c r="B54" s="7" t="s">
        <v>79</v>
      </c>
      <c r="C54" s="8" t="s">
        <v>16</v>
      </c>
      <c r="F54" s="7" t="s">
        <v>356</v>
      </c>
      <c r="G54" s="8" t="s">
        <v>10</v>
      </c>
    </row>
    <row r="55" spans="2:7" x14ac:dyDescent="0.3">
      <c r="B55" s="7" t="s">
        <v>80</v>
      </c>
      <c r="C55" s="8" t="s">
        <v>6</v>
      </c>
      <c r="F55" s="7" t="s">
        <v>357</v>
      </c>
      <c r="G55" s="8" t="s">
        <v>29</v>
      </c>
    </row>
    <row r="56" spans="2:7" x14ac:dyDescent="0.3">
      <c r="B56" s="7" t="s">
        <v>81</v>
      </c>
      <c r="C56" s="8" t="s">
        <v>9</v>
      </c>
      <c r="F56" s="7" t="s">
        <v>525</v>
      </c>
      <c r="G56" s="8" t="s">
        <v>13</v>
      </c>
    </row>
    <row r="57" spans="2:7" x14ac:dyDescent="0.3">
      <c r="B57" s="7" t="s">
        <v>82</v>
      </c>
      <c r="C57" s="8" t="s">
        <v>6</v>
      </c>
      <c r="F57" s="7" t="s">
        <v>358</v>
      </c>
      <c r="G57" s="8" t="s">
        <v>29</v>
      </c>
    </row>
    <row r="58" spans="2:7" x14ac:dyDescent="0.3">
      <c r="B58" s="7" t="s">
        <v>83</v>
      </c>
      <c r="C58" s="8" t="s">
        <v>29</v>
      </c>
      <c r="F58" s="7" t="s">
        <v>359</v>
      </c>
      <c r="G58" s="8" t="s">
        <v>29</v>
      </c>
    </row>
    <row r="59" spans="2:7" x14ac:dyDescent="0.3">
      <c r="B59" s="7" t="s">
        <v>84</v>
      </c>
      <c r="C59" s="8" t="s">
        <v>6</v>
      </c>
      <c r="F59" s="7" t="s">
        <v>360</v>
      </c>
      <c r="G59" s="8" t="s">
        <v>36</v>
      </c>
    </row>
    <row r="60" spans="2:7" x14ac:dyDescent="0.3">
      <c r="B60" s="7" t="s">
        <v>18</v>
      </c>
      <c r="C60" s="8" t="s">
        <v>19</v>
      </c>
      <c r="F60" s="7" t="s">
        <v>361</v>
      </c>
      <c r="G60" s="8" t="s">
        <v>26</v>
      </c>
    </row>
    <row r="61" spans="2:7" x14ac:dyDescent="0.3">
      <c r="B61" s="7" t="s">
        <v>85</v>
      </c>
      <c r="C61" s="8" t="s">
        <v>29</v>
      </c>
      <c r="F61" s="7" t="s">
        <v>362</v>
      </c>
      <c r="G61" s="8" t="s">
        <v>29</v>
      </c>
    </row>
    <row r="62" spans="2:7" x14ac:dyDescent="0.3">
      <c r="B62" s="7" t="s">
        <v>86</v>
      </c>
      <c r="C62" s="8" t="s">
        <v>16</v>
      </c>
      <c r="F62" s="7" t="s">
        <v>363</v>
      </c>
      <c r="G62" s="8" t="s">
        <v>6</v>
      </c>
    </row>
    <row r="63" spans="2:7" x14ac:dyDescent="0.3">
      <c r="B63" s="7" t="s">
        <v>87</v>
      </c>
      <c r="C63" s="8" t="s">
        <v>16</v>
      </c>
      <c r="F63" s="7" t="s">
        <v>364</v>
      </c>
      <c r="G63" s="8" t="s">
        <v>29</v>
      </c>
    </row>
    <row r="64" spans="2:7" x14ac:dyDescent="0.3">
      <c r="B64" s="7" t="s">
        <v>88</v>
      </c>
      <c r="C64" s="8" t="s">
        <v>36</v>
      </c>
      <c r="F64" s="7" t="s">
        <v>365</v>
      </c>
      <c r="G64" s="8" t="s">
        <v>36</v>
      </c>
    </row>
    <row r="65" spans="2:7" x14ac:dyDescent="0.3">
      <c r="B65" s="7" t="s">
        <v>89</v>
      </c>
      <c r="C65" s="8" t="s">
        <v>10</v>
      </c>
      <c r="F65" s="7" t="s">
        <v>366</v>
      </c>
      <c r="G65" s="8" t="s">
        <v>26</v>
      </c>
    </row>
    <row r="66" spans="2:7" x14ac:dyDescent="0.3">
      <c r="B66" s="7" t="s">
        <v>90</v>
      </c>
      <c r="C66" s="8" t="s">
        <v>36</v>
      </c>
      <c r="F66" s="7" t="s">
        <v>367</v>
      </c>
      <c r="G66" s="8" t="s">
        <v>36</v>
      </c>
    </row>
    <row r="67" spans="2:7" x14ac:dyDescent="0.3">
      <c r="B67" s="7" t="s">
        <v>91</v>
      </c>
      <c r="C67" s="8" t="s">
        <v>23</v>
      </c>
      <c r="F67" s="7" t="s">
        <v>368</v>
      </c>
      <c r="G67" s="8" t="s">
        <v>6</v>
      </c>
    </row>
    <row r="68" spans="2:7" x14ac:dyDescent="0.3">
      <c r="B68" s="7" t="s">
        <v>92</v>
      </c>
      <c r="C68" s="8" t="s">
        <v>26</v>
      </c>
      <c r="F68" s="7" t="s">
        <v>369</v>
      </c>
      <c r="G68" s="8" t="s">
        <v>10</v>
      </c>
    </row>
    <row r="69" spans="2:7" x14ac:dyDescent="0.3">
      <c r="B69" s="7" t="s">
        <v>93</v>
      </c>
      <c r="C69" s="8" t="s">
        <v>16</v>
      </c>
      <c r="F69" s="7" t="s">
        <v>370</v>
      </c>
      <c r="G69" s="8" t="s">
        <v>29</v>
      </c>
    </row>
    <row r="70" spans="2:7" x14ac:dyDescent="0.3">
      <c r="B70" s="7" t="s">
        <v>94</v>
      </c>
      <c r="C70" s="8" t="s">
        <v>19</v>
      </c>
      <c r="F70" s="7" t="s">
        <v>371</v>
      </c>
      <c r="G70" s="8" t="s">
        <v>6</v>
      </c>
    </row>
    <row r="71" spans="2:7" x14ac:dyDescent="0.3">
      <c r="B71" s="7" t="s">
        <v>95</v>
      </c>
      <c r="C71" s="8" t="s">
        <v>16</v>
      </c>
      <c r="F71" s="7" t="s">
        <v>372</v>
      </c>
      <c r="G71" s="8" t="s">
        <v>16</v>
      </c>
    </row>
    <row r="72" spans="2:7" x14ac:dyDescent="0.3">
      <c r="B72" s="7" t="s">
        <v>96</v>
      </c>
      <c r="C72" s="8" t="s">
        <v>26</v>
      </c>
      <c r="F72" s="7" t="s">
        <v>373</v>
      </c>
      <c r="G72" s="8" t="s">
        <v>26</v>
      </c>
    </row>
    <row r="73" spans="2:7" x14ac:dyDescent="0.3">
      <c r="B73" s="7" t="s">
        <v>97</v>
      </c>
      <c r="C73" s="8" t="s">
        <v>23</v>
      </c>
      <c r="F73" s="7" t="s">
        <v>512</v>
      </c>
      <c r="G73" s="8" t="s">
        <v>9</v>
      </c>
    </row>
    <row r="74" spans="2:7" ht="15" thickBot="1" x14ac:dyDescent="0.35">
      <c r="B74" s="9" t="s">
        <v>98</v>
      </c>
      <c r="C74" s="1" t="s">
        <v>26</v>
      </c>
      <c r="F74" s="7" t="s">
        <v>513</v>
      </c>
      <c r="G74" s="8" t="s">
        <v>23</v>
      </c>
    </row>
    <row r="75" spans="2:7" x14ac:dyDescent="0.3">
      <c r="F75" s="7" t="s">
        <v>374</v>
      </c>
      <c r="G75" s="8" t="s">
        <v>26</v>
      </c>
    </row>
    <row r="76" spans="2:7" x14ac:dyDescent="0.3">
      <c r="F76" s="7" t="s">
        <v>375</v>
      </c>
      <c r="G76" s="8" t="s">
        <v>23</v>
      </c>
    </row>
    <row r="77" spans="2:7" x14ac:dyDescent="0.3">
      <c r="F77" s="7" t="s">
        <v>376</v>
      </c>
      <c r="G77" s="8" t="s">
        <v>36</v>
      </c>
    </row>
    <row r="78" spans="2:7" x14ac:dyDescent="0.3">
      <c r="F78" s="7" t="s">
        <v>377</v>
      </c>
      <c r="G78" s="8" t="s">
        <v>16</v>
      </c>
    </row>
    <row r="79" spans="2:7" x14ac:dyDescent="0.3">
      <c r="F79" s="7" t="s">
        <v>378</v>
      </c>
      <c r="G79" s="8" t="s">
        <v>23</v>
      </c>
    </row>
    <row r="80" spans="2:7" x14ac:dyDescent="0.3">
      <c r="F80" s="7" t="s">
        <v>379</v>
      </c>
      <c r="G80" s="8" t="s">
        <v>29</v>
      </c>
    </row>
    <row r="81" spans="6:7" x14ac:dyDescent="0.3">
      <c r="F81" s="7" t="s">
        <v>380</v>
      </c>
      <c r="G81" s="8" t="s">
        <v>16</v>
      </c>
    </row>
    <row r="82" spans="6:7" x14ac:dyDescent="0.3">
      <c r="F82" s="7" t="s">
        <v>381</v>
      </c>
      <c r="G82" s="8" t="s">
        <v>16</v>
      </c>
    </row>
    <row r="83" spans="6:7" x14ac:dyDescent="0.3">
      <c r="F83" s="7" t="s">
        <v>382</v>
      </c>
      <c r="G83" s="8" t="s">
        <v>36</v>
      </c>
    </row>
    <row r="84" spans="6:7" x14ac:dyDescent="0.3">
      <c r="F84" s="7" t="s">
        <v>383</v>
      </c>
      <c r="G84" s="8" t="s">
        <v>9</v>
      </c>
    </row>
    <row r="85" spans="6:7" x14ac:dyDescent="0.3">
      <c r="F85" s="7" t="s">
        <v>384</v>
      </c>
      <c r="G85" s="8" t="s">
        <v>36</v>
      </c>
    </row>
    <row r="86" spans="6:7" x14ac:dyDescent="0.3">
      <c r="F86" s="7" t="s">
        <v>385</v>
      </c>
      <c r="G86" s="8" t="s">
        <v>16</v>
      </c>
    </row>
    <row r="87" spans="6:7" x14ac:dyDescent="0.3">
      <c r="F87" s="7" t="s">
        <v>386</v>
      </c>
      <c r="G87" s="8" t="s">
        <v>36</v>
      </c>
    </row>
    <row r="88" spans="6:7" x14ac:dyDescent="0.3">
      <c r="F88" s="7" t="s">
        <v>387</v>
      </c>
      <c r="G88" s="8" t="s">
        <v>16</v>
      </c>
    </row>
    <row r="89" spans="6:7" x14ac:dyDescent="0.3">
      <c r="F89" s="7" t="s">
        <v>388</v>
      </c>
      <c r="G89" s="8" t="s">
        <v>36</v>
      </c>
    </row>
    <row r="90" spans="6:7" x14ac:dyDescent="0.3">
      <c r="F90" s="7" t="s">
        <v>389</v>
      </c>
      <c r="G90" s="8" t="s">
        <v>16</v>
      </c>
    </row>
    <row r="91" spans="6:7" x14ac:dyDescent="0.3">
      <c r="F91" s="7" t="s">
        <v>390</v>
      </c>
      <c r="G91" s="8" t="s">
        <v>10</v>
      </c>
    </row>
    <row r="92" spans="6:7" x14ac:dyDescent="0.3">
      <c r="F92" s="7" t="s">
        <v>391</v>
      </c>
      <c r="G92" s="8" t="s">
        <v>6</v>
      </c>
    </row>
    <row r="93" spans="6:7" x14ac:dyDescent="0.3">
      <c r="F93" s="7" t="s">
        <v>392</v>
      </c>
      <c r="G93" s="8" t="s">
        <v>29</v>
      </c>
    </row>
    <row r="94" spans="6:7" x14ac:dyDescent="0.3">
      <c r="F94" s="7" t="s">
        <v>393</v>
      </c>
      <c r="G94" s="8" t="s">
        <v>29</v>
      </c>
    </row>
    <row r="95" spans="6:7" x14ac:dyDescent="0.3">
      <c r="F95" s="7" t="s">
        <v>394</v>
      </c>
      <c r="G95" s="8" t="s">
        <v>29</v>
      </c>
    </row>
    <row r="96" spans="6:7" x14ac:dyDescent="0.3">
      <c r="F96" s="7" t="s">
        <v>395</v>
      </c>
      <c r="G96" s="8" t="s">
        <v>36</v>
      </c>
    </row>
    <row r="97" spans="6:7" x14ac:dyDescent="0.3">
      <c r="F97" s="7" t="s">
        <v>396</v>
      </c>
      <c r="G97" s="8" t="s">
        <v>29</v>
      </c>
    </row>
    <row r="98" spans="6:7" x14ac:dyDescent="0.3">
      <c r="F98" s="7" t="s">
        <v>397</v>
      </c>
      <c r="G98" s="8" t="s">
        <v>23</v>
      </c>
    </row>
    <row r="99" spans="6:7" x14ac:dyDescent="0.3">
      <c r="F99" s="7" t="s">
        <v>398</v>
      </c>
      <c r="G99" s="8" t="s">
        <v>19</v>
      </c>
    </row>
    <row r="100" spans="6:7" x14ac:dyDescent="0.3">
      <c r="F100" s="7" t="s">
        <v>399</v>
      </c>
      <c r="G100" s="8" t="s">
        <v>36</v>
      </c>
    </row>
    <row r="101" spans="6:7" x14ac:dyDescent="0.3">
      <c r="F101" s="7" t="s">
        <v>400</v>
      </c>
      <c r="G101" s="8" t="s">
        <v>29</v>
      </c>
    </row>
    <row r="102" spans="6:7" x14ac:dyDescent="0.3">
      <c r="F102" s="7" t="s">
        <v>401</v>
      </c>
      <c r="G102" s="8" t="s">
        <v>29</v>
      </c>
    </row>
    <row r="103" spans="6:7" x14ac:dyDescent="0.3">
      <c r="F103" s="7" t="s">
        <v>402</v>
      </c>
      <c r="G103" s="8" t="s">
        <v>29</v>
      </c>
    </row>
    <row r="104" spans="6:7" x14ac:dyDescent="0.3">
      <c r="F104" s="7" t="s">
        <v>403</v>
      </c>
      <c r="G104" s="8" t="s">
        <v>36</v>
      </c>
    </row>
    <row r="105" spans="6:7" x14ac:dyDescent="0.3">
      <c r="F105" s="7" t="s">
        <v>404</v>
      </c>
      <c r="G105" s="8" t="s">
        <v>29</v>
      </c>
    </row>
    <row r="106" spans="6:7" x14ac:dyDescent="0.3">
      <c r="F106" s="7" t="s">
        <v>405</v>
      </c>
      <c r="G106" s="8" t="s">
        <v>36</v>
      </c>
    </row>
    <row r="107" spans="6:7" x14ac:dyDescent="0.3">
      <c r="F107" s="7" t="s">
        <v>406</v>
      </c>
      <c r="G107" s="8" t="s">
        <v>36</v>
      </c>
    </row>
    <row r="108" spans="6:7" x14ac:dyDescent="0.3">
      <c r="F108" s="7" t="s">
        <v>407</v>
      </c>
      <c r="G108" s="8" t="s">
        <v>10</v>
      </c>
    </row>
    <row r="109" spans="6:7" x14ac:dyDescent="0.3">
      <c r="F109" s="7" t="s">
        <v>408</v>
      </c>
      <c r="G109" s="8" t="s">
        <v>19</v>
      </c>
    </row>
    <row r="110" spans="6:7" x14ac:dyDescent="0.3">
      <c r="F110" s="7" t="s">
        <v>409</v>
      </c>
      <c r="G110" s="8" t="s">
        <v>36</v>
      </c>
    </row>
    <row r="111" spans="6:7" x14ac:dyDescent="0.3">
      <c r="F111" s="7" t="s">
        <v>410</v>
      </c>
      <c r="G111" s="8" t="s">
        <v>29</v>
      </c>
    </row>
    <row r="112" spans="6:7" x14ac:dyDescent="0.3">
      <c r="F112" s="7" t="s">
        <v>411</v>
      </c>
      <c r="G112" s="8" t="s">
        <v>29</v>
      </c>
    </row>
    <row r="113" spans="6:7" x14ac:dyDescent="0.3">
      <c r="F113" s="7" t="s">
        <v>412</v>
      </c>
      <c r="G113" s="8" t="s">
        <v>29</v>
      </c>
    </row>
    <row r="114" spans="6:7" x14ac:dyDescent="0.3">
      <c r="F114" s="7" t="s">
        <v>413</v>
      </c>
      <c r="G114" s="8" t="s">
        <v>36</v>
      </c>
    </row>
    <row r="115" spans="6:7" x14ac:dyDescent="0.3">
      <c r="F115" s="7" t="s">
        <v>414</v>
      </c>
      <c r="G115" s="8" t="s">
        <v>29</v>
      </c>
    </row>
    <row r="116" spans="6:7" x14ac:dyDescent="0.3">
      <c r="F116" s="7" t="s">
        <v>415</v>
      </c>
      <c r="G116" s="8" t="s">
        <v>23</v>
      </c>
    </row>
    <row r="117" spans="6:7" x14ac:dyDescent="0.3">
      <c r="F117" s="7" t="s">
        <v>416</v>
      </c>
      <c r="G117" s="8" t="s">
        <v>6</v>
      </c>
    </row>
    <row r="118" spans="6:7" x14ac:dyDescent="0.3">
      <c r="F118" s="7" t="s">
        <v>417</v>
      </c>
      <c r="G118" s="8" t="s">
        <v>6</v>
      </c>
    </row>
    <row r="119" spans="6:7" x14ac:dyDescent="0.3">
      <c r="F119" s="7" t="s">
        <v>418</v>
      </c>
      <c r="G119" s="8" t="s">
        <v>29</v>
      </c>
    </row>
    <row r="120" spans="6:7" x14ac:dyDescent="0.3">
      <c r="F120" s="7" t="s">
        <v>419</v>
      </c>
      <c r="G120" s="8" t="s">
        <v>29</v>
      </c>
    </row>
    <row r="121" spans="6:7" x14ac:dyDescent="0.3">
      <c r="F121" s="7" t="s">
        <v>420</v>
      </c>
      <c r="G121" s="8" t="s">
        <v>36</v>
      </c>
    </row>
    <row r="122" spans="6:7" x14ac:dyDescent="0.3">
      <c r="F122" s="7" t="s">
        <v>514</v>
      </c>
      <c r="G122" s="8" t="s">
        <v>9</v>
      </c>
    </row>
    <row r="123" spans="6:7" x14ac:dyDescent="0.3">
      <c r="F123" s="7" t="s">
        <v>421</v>
      </c>
      <c r="G123" s="8" t="s">
        <v>36</v>
      </c>
    </row>
    <row r="124" spans="6:7" x14ac:dyDescent="0.3">
      <c r="F124" s="7" t="s">
        <v>422</v>
      </c>
      <c r="G124" s="8" t="s">
        <v>29</v>
      </c>
    </row>
    <row r="125" spans="6:7" x14ac:dyDescent="0.3">
      <c r="F125" s="7" t="s">
        <v>423</v>
      </c>
      <c r="G125" s="8" t="s">
        <v>23</v>
      </c>
    </row>
    <row r="126" spans="6:7" x14ac:dyDescent="0.3">
      <c r="F126" s="7" t="s">
        <v>424</v>
      </c>
      <c r="G126" s="8" t="s">
        <v>29</v>
      </c>
    </row>
    <row r="127" spans="6:7" x14ac:dyDescent="0.3">
      <c r="F127" s="7" t="s">
        <v>425</v>
      </c>
      <c r="G127" s="8" t="s">
        <v>6</v>
      </c>
    </row>
    <row r="128" spans="6:7" x14ac:dyDescent="0.3">
      <c r="F128" s="7" t="s">
        <v>426</v>
      </c>
      <c r="G128" s="8" t="s">
        <v>36</v>
      </c>
    </row>
    <row r="129" spans="6:7" x14ac:dyDescent="0.3">
      <c r="F129" s="7" t="s">
        <v>427</v>
      </c>
      <c r="G129" s="8" t="s">
        <v>6</v>
      </c>
    </row>
    <row r="130" spans="6:7" x14ac:dyDescent="0.3">
      <c r="F130" s="7" t="s">
        <v>428</v>
      </c>
      <c r="G130" s="8" t="s">
        <v>36</v>
      </c>
    </row>
    <row r="131" spans="6:7" x14ac:dyDescent="0.3">
      <c r="F131" s="7" t="s">
        <v>429</v>
      </c>
      <c r="G131" s="8" t="s">
        <v>36</v>
      </c>
    </row>
    <row r="132" spans="6:7" x14ac:dyDescent="0.3">
      <c r="F132" s="7" t="s">
        <v>430</v>
      </c>
      <c r="G132" s="8" t="s">
        <v>36</v>
      </c>
    </row>
    <row r="133" spans="6:7" x14ac:dyDescent="0.3">
      <c r="F133" s="7" t="s">
        <v>515</v>
      </c>
      <c r="G133" s="8" t="s">
        <v>9</v>
      </c>
    </row>
    <row r="134" spans="6:7" x14ac:dyDescent="0.3">
      <c r="F134" s="7" t="s">
        <v>431</v>
      </c>
      <c r="G134" s="8" t="s">
        <v>6</v>
      </c>
    </row>
    <row r="135" spans="6:7" x14ac:dyDescent="0.3">
      <c r="F135" s="7" t="s">
        <v>432</v>
      </c>
      <c r="G135" s="8" t="s">
        <v>36</v>
      </c>
    </row>
    <row r="136" spans="6:7" x14ac:dyDescent="0.3">
      <c r="F136" s="7" t="s">
        <v>433</v>
      </c>
      <c r="G136" s="8" t="s">
        <v>29</v>
      </c>
    </row>
    <row r="137" spans="6:7" x14ac:dyDescent="0.3">
      <c r="F137" s="7" t="s">
        <v>434</v>
      </c>
      <c r="G137" s="8" t="s">
        <v>23</v>
      </c>
    </row>
    <row r="138" spans="6:7" x14ac:dyDescent="0.3">
      <c r="F138" s="7" t="s">
        <v>435</v>
      </c>
      <c r="G138" s="8" t="s">
        <v>29</v>
      </c>
    </row>
    <row r="139" spans="6:7" x14ac:dyDescent="0.3">
      <c r="F139" s="7" t="s">
        <v>436</v>
      </c>
      <c r="G139" s="8" t="s">
        <v>9</v>
      </c>
    </row>
    <row r="140" spans="6:7" x14ac:dyDescent="0.3">
      <c r="F140" s="7" t="s">
        <v>437</v>
      </c>
      <c r="G140" s="8" t="s">
        <v>36</v>
      </c>
    </row>
    <row r="141" spans="6:7" x14ac:dyDescent="0.3">
      <c r="F141" s="7" t="s">
        <v>438</v>
      </c>
      <c r="G141" s="8" t="s">
        <v>36</v>
      </c>
    </row>
    <row r="142" spans="6:7" x14ac:dyDescent="0.3">
      <c r="F142" s="7" t="s">
        <v>439</v>
      </c>
      <c r="G142" s="8" t="s">
        <v>16</v>
      </c>
    </row>
    <row r="143" spans="6:7" x14ac:dyDescent="0.3">
      <c r="F143" s="7" t="s">
        <v>440</v>
      </c>
      <c r="G143" s="8" t="s">
        <v>23</v>
      </c>
    </row>
    <row r="144" spans="6:7" x14ac:dyDescent="0.3">
      <c r="F144" s="7" t="s">
        <v>441</v>
      </c>
      <c r="G144" s="8" t="s">
        <v>36</v>
      </c>
    </row>
    <row r="145" spans="6:7" x14ac:dyDescent="0.3">
      <c r="F145" s="7" t="s">
        <v>442</v>
      </c>
      <c r="G145" s="8" t="s">
        <v>29</v>
      </c>
    </row>
    <row r="146" spans="6:7" x14ac:dyDescent="0.3">
      <c r="F146" s="7" t="s">
        <v>443</v>
      </c>
      <c r="G146" s="8" t="s">
        <v>36</v>
      </c>
    </row>
    <row r="147" spans="6:7" x14ac:dyDescent="0.3">
      <c r="F147" s="7" t="s">
        <v>444</v>
      </c>
      <c r="G147" s="8" t="s">
        <v>19</v>
      </c>
    </row>
    <row r="148" spans="6:7" x14ac:dyDescent="0.3">
      <c r="F148" s="7" t="s">
        <v>445</v>
      </c>
      <c r="G148" s="8" t="s">
        <v>6</v>
      </c>
    </row>
    <row r="149" spans="6:7" x14ac:dyDescent="0.3">
      <c r="F149" s="7" t="s">
        <v>446</v>
      </c>
      <c r="G149" s="8" t="s">
        <v>36</v>
      </c>
    </row>
    <row r="150" spans="6:7" x14ac:dyDescent="0.3">
      <c r="F150" s="7" t="s">
        <v>447</v>
      </c>
      <c r="G150" s="8" t="s">
        <v>23</v>
      </c>
    </row>
    <row r="151" spans="6:7" x14ac:dyDescent="0.3">
      <c r="F151" s="7" t="s">
        <v>448</v>
      </c>
      <c r="G151" s="8" t="s">
        <v>29</v>
      </c>
    </row>
    <row r="152" spans="6:7" x14ac:dyDescent="0.3">
      <c r="F152" s="7" t="s">
        <v>449</v>
      </c>
      <c r="G152" s="8" t="s">
        <v>6</v>
      </c>
    </row>
    <row r="153" spans="6:7" x14ac:dyDescent="0.3">
      <c r="F153" s="7" t="s">
        <v>450</v>
      </c>
      <c r="G153" s="8" t="s">
        <v>36</v>
      </c>
    </row>
    <row r="154" spans="6:7" x14ac:dyDescent="0.3">
      <c r="F154" s="7" t="s">
        <v>451</v>
      </c>
      <c r="G154" s="8" t="s">
        <v>36</v>
      </c>
    </row>
    <row r="155" spans="6:7" x14ac:dyDescent="0.3">
      <c r="F155" s="7" t="s">
        <v>452</v>
      </c>
      <c r="G155" s="8" t="s">
        <v>23</v>
      </c>
    </row>
    <row r="156" spans="6:7" x14ac:dyDescent="0.3">
      <c r="F156" s="7" t="s">
        <v>453</v>
      </c>
      <c r="G156" s="8" t="s">
        <v>29</v>
      </c>
    </row>
    <row r="157" spans="6:7" x14ac:dyDescent="0.3">
      <c r="F157" s="7" t="s">
        <v>454</v>
      </c>
      <c r="G157" s="8" t="s">
        <v>36</v>
      </c>
    </row>
    <row r="158" spans="6:7" x14ac:dyDescent="0.3">
      <c r="F158" s="7" t="s">
        <v>455</v>
      </c>
      <c r="G158" s="8" t="s">
        <v>36</v>
      </c>
    </row>
    <row r="159" spans="6:7" x14ac:dyDescent="0.3">
      <c r="F159" s="7" t="s">
        <v>456</v>
      </c>
      <c r="G159" s="8" t="s">
        <v>36</v>
      </c>
    </row>
    <row r="160" spans="6:7" x14ac:dyDescent="0.3">
      <c r="F160" s="7" t="s">
        <v>457</v>
      </c>
      <c r="G160" s="8" t="s">
        <v>29</v>
      </c>
    </row>
    <row r="161" spans="6:7" x14ac:dyDescent="0.3">
      <c r="F161" s="7" t="s">
        <v>52</v>
      </c>
      <c r="G161" s="8" t="s">
        <v>29</v>
      </c>
    </row>
    <row r="162" spans="6:7" x14ac:dyDescent="0.3">
      <c r="F162" s="7" t="s">
        <v>458</v>
      </c>
      <c r="G162" s="8" t="s">
        <v>36</v>
      </c>
    </row>
    <row r="163" spans="6:7" x14ac:dyDescent="0.3">
      <c r="F163" s="7" t="s">
        <v>459</v>
      </c>
      <c r="G163" s="8" t="s">
        <v>6</v>
      </c>
    </row>
    <row r="164" spans="6:7" x14ac:dyDescent="0.3">
      <c r="F164" s="7" t="s">
        <v>460</v>
      </c>
      <c r="G164" s="8" t="s">
        <v>16</v>
      </c>
    </row>
    <row r="165" spans="6:7" x14ac:dyDescent="0.3">
      <c r="F165" s="7" t="s">
        <v>461</v>
      </c>
      <c r="G165" s="8" t="s">
        <v>36</v>
      </c>
    </row>
    <row r="166" spans="6:7" x14ac:dyDescent="0.3">
      <c r="F166" s="7" t="s">
        <v>462</v>
      </c>
      <c r="G166" s="8" t="s">
        <v>36</v>
      </c>
    </row>
    <row r="167" spans="6:7" x14ac:dyDescent="0.3">
      <c r="F167" s="7" t="s">
        <v>463</v>
      </c>
      <c r="G167" s="8" t="s">
        <v>36</v>
      </c>
    </row>
    <row r="168" spans="6:7" x14ac:dyDescent="0.3">
      <c r="F168" s="7" t="s">
        <v>464</v>
      </c>
      <c r="G168" s="8" t="s">
        <v>36</v>
      </c>
    </row>
    <row r="169" spans="6:7" x14ac:dyDescent="0.3">
      <c r="F169" s="7" t="s">
        <v>465</v>
      </c>
      <c r="G169" s="8" t="s">
        <v>26</v>
      </c>
    </row>
    <row r="170" spans="6:7" x14ac:dyDescent="0.3">
      <c r="F170" s="7" t="s">
        <v>466</v>
      </c>
      <c r="G170" s="8" t="s">
        <v>36</v>
      </c>
    </row>
    <row r="171" spans="6:7" x14ac:dyDescent="0.3">
      <c r="F171" s="7" t="s">
        <v>467</v>
      </c>
      <c r="G171" s="8" t="s">
        <v>36</v>
      </c>
    </row>
    <row r="172" spans="6:7" x14ac:dyDescent="0.3">
      <c r="F172" s="7" t="s">
        <v>468</v>
      </c>
      <c r="G172" s="8" t="s">
        <v>29</v>
      </c>
    </row>
    <row r="173" spans="6:7" x14ac:dyDescent="0.3">
      <c r="F173" s="7" t="s">
        <v>469</v>
      </c>
      <c r="G173" s="8" t="s">
        <v>16</v>
      </c>
    </row>
    <row r="174" spans="6:7" x14ac:dyDescent="0.3">
      <c r="F174" s="7" t="s">
        <v>470</v>
      </c>
      <c r="G174" s="8" t="s">
        <v>29</v>
      </c>
    </row>
    <row r="175" spans="6:7" x14ac:dyDescent="0.3">
      <c r="F175" s="7" t="s">
        <v>471</v>
      </c>
      <c r="G175" s="8" t="s">
        <v>29</v>
      </c>
    </row>
    <row r="176" spans="6:7" x14ac:dyDescent="0.3">
      <c r="F176" s="7" t="s">
        <v>472</v>
      </c>
      <c r="G176" s="8" t="s">
        <v>29</v>
      </c>
    </row>
    <row r="177" spans="6:7" x14ac:dyDescent="0.3">
      <c r="F177" s="7" t="s">
        <v>473</v>
      </c>
      <c r="G177" s="8" t="s">
        <v>36</v>
      </c>
    </row>
    <row r="178" spans="6:7" x14ac:dyDescent="0.3">
      <c r="F178" s="7" t="s">
        <v>474</v>
      </c>
      <c r="G178" s="8" t="s">
        <v>36</v>
      </c>
    </row>
    <row r="179" spans="6:7" x14ac:dyDescent="0.3">
      <c r="F179" s="7" t="s">
        <v>475</v>
      </c>
      <c r="G179" s="8" t="s">
        <v>26</v>
      </c>
    </row>
    <row r="180" spans="6:7" x14ac:dyDescent="0.3">
      <c r="F180" s="7" t="s">
        <v>476</v>
      </c>
      <c r="G180" s="8" t="s">
        <v>29</v>
      </c>
    </row>
    <row r="181" spans="6:7" x14ac:dyDescent="0.3">
      <c r="F181" s="7" t="s">
        <v>477</v>
      </c>
      <c r="G181" s="8" t="s">
        <v>29</v>
      </c>
    </row>
    <row r="182" spans="6:7" x14ac:dyDescent="0.3">
      <c r="F182" s="7" t="s">
        <v>478</v>
      </c>
      <c r="G182" s="8" t="s">
        <v>29</v>
      </c>
    </row>
    <row r="183" spans="6:7" x14ac:dyDescent="0.3">
      <c r="F183" s="7" t="s">
        <v>479</v>
      </c>
      <c r="G183" s="8" t="s">
        <v>36</v>
      </c>
    </row>
    <row r="184" spans="6:7" x14ac:dyDescent="0.3">
      <c r="F184" s="7" t="s">
        <v>480</v>
      </c>
      <c r="G184" s="8" t="s">
        <v>23</v>
      </c>
    </row>
    <row r="185" spans="6:7" x14ac:dyDescent="0.3">
      <c r="F185" s="7" t="s">
        <v>481</v>
      </c>
      <c r="G185" s="8" t="s">
        <v>6</v>
      </c>
    </row>
    <row r="186" spans="6:7" x14ac:dyDescent="0.3">
      <c r="F186" s="7" t="s">
        <v>482</v>
      </c>
      <c r="G186" s="8" t="s">
        <v>16</v>
      </c>
    </row>
    <row r="187" spans="6:7" x14ac:dyDescent="0.3">
      <c r="F187" s="7" t="s">
        <v>483</v>
      </c>
      <c r="G187" s="8" t="s">
        <v>36</v>
      </c>
    </row>
    <row r="188" spans="6:7" x14ac:dyDescent="0.3">
      <c r="F188" s="7" t="s">
        <v>516</v>
      </c>
      <c r="G188" s="8" t="s">
        <v>9</v>
      </c>
    </row>
    <row r="189" spans="6:7" x14ac:dyDescent="0.3">
      <c r="F189" s="7" t="s">
        <v>517</v>
      </c>
      <c r="G189" s="8" t="s">
        <v>9</v>
      </c>
    </row>
    <row r="190" spans="6:7" x14ac:dyDescent="0.3">
      <c r="F190" s="7" t="s">
        <v>484</v>
      </c>
      <c r="G190" s="8" t="s">
        <v>36</v>
      </c>
    </row>
    <row r="191" spans="6:7" x14ac:dyDescent="0.3">
      <c r="F191" s="7" t="s">
        <v>485</v>
      </c>
      <c r="G191" s="8" t="s">
        <v>36</v>
      </c>
    </row>
    <row r="192" spans="6:7" x14ac:dyDescent="0.3">
      <c r="F192" s="7" t="s">
        <v>486</v>
      </c>
      <c r="G192" s="8" t="s">
        <v>36</v>
      </c>
    </row>
    <row r="193" spans="6:7" x14ac:dyDescent="0.3">
      <c r="F193" s="7" t="s">
        <v>487</v>
      </c>
      <c r="G193" s="8" t="s">
        <v>23</v>
      </c>
    </row>
    <row r="194" spans="6:7" x14ac:dyDescent="0.3">
      <c r="F194" s="7" t="s">
        <v>488</v>
      </c>
      <c r="G194" s="8" t="s">
        <v>36</v>
      </c>
    </row>
    <row r="195" spans="6:7" x14ac:dyDescent="0.3">
      <c r="F195" s="7" t="s">
        <v>489</v>
      </c>
      <c r="G195" s="8" t="s">
        <v>36</v>
      </c>
    </row>
    <row r="196" spans="6:7" x14ac:dyDescent="0.3">
      <c r="F196" s="7" t="s">
        <v>490</v>
      </c>
      <c r="G196" s="8" t="s">
        <v>29</v>
      </c>
    </row>
    <row r="197" spans="6:7" x14ac:dyDescent="0.3">
      <c r="F197" s="7" t="s">
        <v>491</v>
      </c>
      <c r="G197" s="8" t="s">
        <v>36</v>
      </c>
    </row>
    <row r="198" spans="6:7" x14ac:dyDescent="0.3">
      <c r="F198" s="7" t="s">
        <v>492</v>
      </c>
      <c r="G198" s="8" t="s">
        <v>6</v>
      </c>
    </row>
    <row r="199" spans="6:7" x14ac:dyDescent="0.3">
      <c r="F199" s="7" t="s">
        <v>493</v>
      </c>
      <c r="G199" s="8" t="s">
        <v>36</v>
      </c>
    </row>
    <row r="200" spans="6:7" x14ac:dyDescent="0.3">
      <c r="F200" s="7" t="s">
        <v>494</v>
      </c>
      <c r="G200" s="8" t="s">
        <v>19</v>
      </c>
    </row>
    <row r="201" spans="6:7" x14ac:dyDescent="0.3">
      <c r="F201" s="7" t="s">
        <v>495</v>
      </c>
      <c r="G201" s="8" t="s">
        <v>23</v>
      </c>
    </row>
    <row r="202" spans="6:7" x14ac:dyDescent="0.3">
      <c r="F202" s="7" t="s">
        <v>496</v>
      </c>
      <c r="G202" s="8" t="s">
        <v>29</v>
      </c>
    </row>
    <row r="203" spans="6:7" x14ac:dyDescent="0.3">
      <c r="F203" s="7" t="s">
        <v>497</v>
      </c>
      <c r="G203" s="8" t="s">
        <v>19</v>
      </c>
    </row>
    <row r="204" spans="6:7" x14ac:dyDescent="0.3">
      <c r="F204" s="7" t="s">
        <v>498</v>
      </c>
      <c r="G204" s="8" t="s">
        <v>36</v>
      </c>
    </row>
    <row r="205" spans="6:7" x14ac:dyDescent="0.3">
      <c r="F205" s="7" t="s">
        <v>499</v>
      </c>
      <c r="G205" s="8" t="s">
        <v>29</v>
      </c>
    </row>
    <row r="206" spans="6:7" x14ac:dyDescent="0.3">
      <c r="F206" s="7" t="s">
        <v>500</v>
      </c>
      <c r="G206" s="8" t="s">
        <v>36</v>
      </c>
    </row>
    <row r="207" spans="6:7" x14ac:dyDescent="0.3">
      <c r="F207" s="7" t="s">
        <v>501</v>
      </c>
      <c r="G207" s="8" t="s">
        <v>36</v>
      </c>
    </row>
    <row r="208" spans="6:7" x14ac:dyDescent="0.3">
      <c r="F208" s="7" t="s">
        <v>502</v>
      </c>
      <c r="G208" s="8" t="s">
        <v>9</v>
      </c>
    </row>
    <row r="209" spans="6:7" x14ac:dyDescent="0.3">
      <c r="F209" s="7" t="s">
        <v>503</v>
      </c>
      <c r="G209" s="8" t="s">
        <v>36</v>
      </c>
    </row>
    <row r="210" spans="6:7" x14ac:dyDescent="0.3">
      <c r="F210" s="7" t="s">
        <v>504</v>
      </c>
      <c r="G210" s="8" t="s">
        <v>36</v>
      </c>
    </row>
    <row r="211" spans="6:7" x14ac:dyDescent="0.3">
      <c r="F211" s="7" t="s">
        <v>505</v>
      </c>
      <c r="G211" s="8" t="s">
        <v>29</v>
      </c>
    </row>
    <row r="212" spans="6:7" x14ac:dyDescent="0.3">
      <c r="F212" s="7" t="s">
        <v>526</v>
      </c>
      <c r="G212" s="8" t="s">
        <v>19</v>
      </c>
    </row>
    <row r="213" spans="6:7" x14ac:dyDescent="0.3">
      <c r="F213" s="7" t="s">
        <v>506</v>
      </c>
      <c r="G213" s="8" t="s">
        <v>23</v>
      </c>
    </row>
    <row r="214" spans="6:7" x14ac:dyDescent="0.3">
      <c r="F214" s="7" t="s">
        <v>507</v>
      </c>
      <c r="G214" s="8" t="s">
        <v>36</v>
      </c>
    </row>
    <row r="215" spans="6:7" x14ac:dyDescent="0.3">
      <c r="F215" s="7" t="s">
        <v>508</v>
      </c>
      <c r="G215" s="8" t="s">
        <v>36</v>
      </c>
    </row>
    <row r="216" spans="6:7" x14ac:dyDescent="0.3">
      <c r="F216" s="7" t="s">
        <v>509</v>
      </c>
      <c r="G216" s="8" t="s">
        <v>6</v>
      </c>
    </row>
    <row r="217" spans="6:7" ht="15" thickBot="1" x14ac:dyDescent="0.35">
      <c r="F217" s="9" t="s">
        <v>510</v>
      </c>
      <c r="G217" s="1" t="s">
        <v>19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5D85-C226-4F22-812B-E3A8C45F6A84}">
  <dimension ref="A1:B215"/>
  <sheetViews>
    <sheetView topLeftCell="A189" workbookViewId="0">
      <selection activeCell="G189" sqref="G189"/>
    </sheetView>
  </sheetViews>
  <sheetFormatPr defaultRowHeight="14.4" x14ac:dyDescent="0.3"/>
  <cols>
    <col min="1" max="1" width="125.21875" bestFit="1" customWidth="1"/>
  </cols>
  <sheetData>
    <row r="1" spans="1:2" x14ac:dyDescent="0.3">
      <c r="A1" s="12" t="s">
        <v>99</v>
      </c>
      <c r="B1" t="str">
        <f>MID(A1,4,500)</f>
        <v xml:space="preserve"> "TECNICO JUDICIARIO (ANALISTA JUDICIARIO - AREA JUDICIARIA) - LEI Nº 17.663/2012, ANEXO VIII" </v>
      </c>
    </row>
    <row r="2" spans="1:2" x14ac:dyDescent="0.3">
      <c r="A2" s="12" t="s">
        <v>100</v>
      </c>
      <c r="B2" t="str">
        <f t="shared" ref="B2:B9" si="0">MID(A2,4,500)</f>
        <v xml:space="preserve"> "AUXILIAR DE SERVICOS DIVERSOS" </v>
      </c>
    </row>
    <row r="3" spans="1:2" x14ac:dyDescent="0.3">
      <c r="A3" s="12" t="s">
        <v>101</v>
      </c>
      <c r="B3" t="str">
        <f t="shared" si="0"/>
        <v xml:space="preserve"> NA </v>
      </c>
    </row>
    <row r="4" spans="1:2" x14ac:dyDescent="0.3">
      <c r="A4" s="12" t="s">
        <v>102</v>
      </c>
      <c r="B4" t="str">
        <f t="shared" si="0"/>
        <v xml:space="preserve"> "ESCREVENTE JUDICIARIO II (ANALISTA JUDICIARIO - AREA DE APOIO JUDICIARIO E ADMINISTRATIVO) - LEI Nº 17.663/2012, ANEXO IX" </v>
      </c>
    </row>
    <row r="5" spans="1:2" x14ac:dyDescent="0.3">
      <c r="A5" s="12" t="s">
        <v>103</v>
      </c>
      <c r="B5" t="str">
        <f t="shared" si="0"/>
        <v xml:space="preserve"> "AUXILIAR DE SERVICOS GERAIS" </v>
      </c>
    </row>
    <row r="6" spans="1:2" x14ac:dyDescent="0.3">
      <c r="A6" s="12" t="s">
        <v>104</v>
      </c>
      <c r="B6" t="str">
        <f t="shared" si="0"/>
        <v xml:space="preserve"> "JUIZ DE DIREITO DE ENTRANCIA FINAL" </v>
      </c>
    </row>
    <row r="7" spans="1:2" x14ac:dyDescent="0.3">
      <c r="A7" s="12" t="s">
        <v>105</v>
      </c>
      <c r="B7" t="str">
        <f t="shared" si="0"/>
        <v xml:space="preserve"> "AGENTE ADMINISTRATIVO EDUCACIONAL DE APOIO" </v>
      </c>
    </row>
    <row r="8" spans="1:2" x14ac:dyDescent="0.3">
      <c r="A8" s="12" t="s">
        <v>106</v>
      </c>
      <c r="B8" t="str">
        <f t="shared" si="0"/>
        <v xml:space="preserve"> "ANALISTA JUDICIARIO - AREA APOIO JUDICIARIO E ADMINISTRATIVO" </v>
      </c>
    </row>
    <row r="9" spans="1:2" x14ac:dyDescent="0.3">
      <c r="A9" s="12" t="s">
        <v>107</v>
      </c>
      <c r="B9" t="str">
        <f t="shared" si="0"/>
        <v xml:space="preserve"> "AUXILIAR JUDICIARIO-CATEGORIA GERAL (ANALISTA JUDICIARIO - AREA DE APOIO JUDICIARIO E ADMINISTRATIVO) - LEI Nº 17.663/2012, ANEXO IX" </v>
      </c>
    </row>
    <row r="10" spans="1:2" x14ac:dyDescent="0.3">
      <c r="A10" s="12" t="s">
        <v>108</v>
      </c>
      <c r="B10" t="str">
        <f>MID(A10,5,500)</f>
        <v xml:space="preserve"> "AUXILIAR JUDICIARIO-CATEGORIA DIVERSOS" </v>
      </c>
    </row>
    <row r="11" spans="1:2" x14ac:dyDescent="0.3">
      <c r="A11" s="12" t="s">
        <v>109</v>
      </c>
      <c r="B11" t="str">
        <f t="shared" ref="B11:B74" si="1">MID(A11,5,500)</f>
        <v xml:space="preserve"> "OFICIAL DE JUSTIÇA-AVALIADOR JUDICIARIO III (ANALISTA JUDICIARIO - AREA JUDICIARIA - OFICIAL DE JUSTIÇA AVALIADOR) - LEI Nº 17.663/2012, ANEXO VIII" </v>
      </c>
    </row>
    <row r="12" spans="1:2" x14ac:dyDescent="0.3">
      <c r="A12" s="12" t="s">
        <v>110</v>
      </c>
      <c r="B12" t="str">
        <f t="shared" si="1"/>
        <v xml:space="preserve"> "A DISPOSICAO CELETISTA" </v>
      </c>
    </row>
    <row r="13" spans="1:2" x14ac:dyDescent="0.3">
      <c r="A13" s="12" t="s">
        <v>111</v>
      </c>
      <c r="B13" t="str">
        <f t="shared" si="1"/>
        <v xml:space="preserve"> "OFICIAL DE JUSTIÇA-AVALIADOR JUDICIARIO II (ANALISTA JUDICIARIO - AREA JUDICIARIA - OFICIAL DE JUSTIÇA AVALIADOR) - LEI Nº 17.663/2012, ANEXO VIII" </v>
      </c>
    </row>
    <row r="14" spans="1:2" x14ac:dyDescent="0.3">
      <c r="A14" s="12" t="s">
        <v>112</v>
      </c>
      <c r="B14" t="str">
        <f t="shared" si="1"/>
        <v xml:space="preserve"> "ESCRIVAO JUDICIARIO III (ANALISTA JUDICIARIO - AREA JUDICIARIA) - LEI Nº 17.663/2012, ANEXO VIII" </v>
      </c>
    </row>
    <row r="15" spans="1:2" x14ac:dyDescent="0.3">
      <c r="A15" s="12" t="s">
        <v>113</v>
      </c>
      <c r="B15" t="str">
        <f t="shared" si="1"/>
        <v xml:space="preserve"> "PORTEIRO JUDICIARIO I (ANALISTA JUDICIARIO - AREA DE APOIO JUDICIARIO E ADMINISTRATIVO) - LEI Nº 17.663/2012, ANEXO IX" </v>
      </c>
    </row>
    <row r="16" spans="1:2" x14ac:dyDescent="0.3">
      <c r="A16" s="12" t="s">
        <v>114</v>
      </c>
      <c r="B16" t="str">
        <f t="shared" si="1"/>
        <v xml:space="preserve"> "ESCRIVAO JUDICIARIO II (ANALISTA JUDICIARIO - AREA JUDICIARIA) - LEI Nº 17.663/2012, ANEXO VIII" </v>
      </c>
    </row>
    <row r="17" spans="1:2" x14ac:dyDescent="0.3">
      <c r="A17" s="12" t="s">
        <v>115</v>
      </c>
      <c r="B17" t="str">
        <f t="shared" si="1"/>
        <v xml:space="preserve"> "ESCREVENTE JUDICIARIO I (ANALISTA JUDICIARIO - AREA DE APOIO JUDICIARIO E ADMINISTRATIVO) - LEI Nº 17.663/2012, ANEXO IX" </v>
      </c>
    </row>
    <row r="18" spans="1:2" x14ac:dyDescent="0.3">
      <c r="A18" s="12" t="s">
        <v>116</v>
      </c>
      <c r="B18" t="str">
        <f t="shared" si="1"/>
        <v xml:space="preserve"> "CONTADOR, DISTRIBUIDOR E PARTIDOR JUDICIARIO I (ANALISTA JUDICIARIO - AREA ESPECIALIZADA) - LEI Nº 17.663/2012, ANEXO IX" </v>
      </c>
    </row>
    <row r="19" spans="1:2" x14ac:dyDescent="0.3">
      <c r="A19" s="12" t="s">
        <v>117</v>
      </c>
      <c r="B19" t="str">
        <f t="shared" si="1"/>
        <v xml:space="preserve"> "OFICIAL DE JUSTIÇA-AVALIADOR JUDICIARIO I (ANALISTA JUDICIARIO - AREA JUDICIARIA - OFICIAL DE JUSTIÇA AVALIADOR) - LEI Nº 17.663/2012, ANEXO VIII" </v>
      </c>
    </row>
    <row r="20" spans="1:2" x14ac:dyDescent="0.3">
      <c r="A20" s="12" t="s">
        <v>118</v>
      </c>
      <c r="B20" t="str">
        <f t="shared" si="1"/>
        <v xml:space="preserve"> "DESEMBARGADOR" </v>
      </c>
    </row>
    <row r="21" spans="1:2" x14ac:dyDescent="0.3">
      <c r="A21" s="12" t="s">
        <v>119</v>
      </c>
      <c r="B21" t="str">
        <f t="shared" si="1"/>
        <v xml:space="preserve"> "JUIZ DE DIREITO 3ª ENTRANCIA" </v>
      </c>
    </row>
    <row r="22" spans="1:2" x14ac:dyDescent="0.3">
      <c r="A22" s="12" t="s">
        <v>120</v>
      </c>
      <c r="B22" t="str">
        <f t="shared" si="1"/>
        <v xml:space="preserve"> "OFICIAL DE REGISTRO CIVIL-OFICIALIZADO-EE" </v>
      </c>
    </row>
    <row r="23" spans="1:2" x14ac:dyDescent="0.3">
      <c r="A23" s="12" t="s">
        <v>121</v>
      </c>
      <c r="B23" t="str">
        <f t="shared" si="1"/>
        <v xml:space="preserve"> "ANALISTA JUDICIÁRIO - ÁREA JUDICIÁRIA - OFICIAL DE JUSTIÇA AVALIADOR" </v>
      </c>
    </row>
    <row r="24" spans="1:2" x14ac:dyDescent="0.3">
      <c r="A24" s="12" t="s">
        <v>122</v>
      </c>
      <c r="B24" t="str">
        <f t="shared" si="1"/>
        <v xml:space="preserve"> "ESCREVENTE JUDICIARIO III (ANALISTA JUDICIARIO AREA ADMINISTRATIVA) - LEI Nº 17.663/2012, ANEXO IX" </v>
      </c>
    </row>
    <row r="25" spans="1:2" x14ac:dyDescent="0.3">
      <c r="A25" s="12" t="s">
        <v>123</v>
      </c>
      <c r="B25" t="str">
        <f t="shared" si="1"/>
        <v xml:space="preserve"> "ESCRIVAO JUDICIARIO I (ANALISTA JUDICIARIO - AREA JUDICIARIA) - LEI Nº 17.663/2012, ANEXO VIII" </v>
      </c>
    </row>
    <row r="26" spans="1:2" x14ac:dyDescent="0.3">
      <c r="A26" s="12" t="s">
        <v>124</v>
      </c>
      <c r="B26" t="str">
        <f t="shared" si="1"/>
        <v xml:space="preserve"> "JUIZ DE DIREITO DE ENTRANCIA INICIAL" </v>
      </c>
    </row>
    <row r="27" spans="1:2" x14ac:dyDescent="0.3">
      <c r="A27" s="12" t="s">
        <v>125</v>
      </c>
      <c r="B27" t="str">
        <f t="shared" si="1"/>
        <v xml:space="preserve"> "SERVIÇOS GERAIS" </v>
      </c>
    </row>
    <row r="28" spans="1:2" x14ac:dyDescent="0.3">
      <c r="A28" s="12" t="s">
        <v>126</v>
      </c>
      <c r="B28" t="str">
        <f t="shared" si="1"/>
        <v xml:space="preserve"> "TECNICO JUDICIARIO (ANALISTA JUDICIARIO - AREA ESPECIALIZADA) - LEI Nº 17.663/2012, ANEXO IX" </v>
      </c>
    </row>
    <row r="29" spans="1:2" x14ac:dyDescent="0.3">
      <c r="A29" s="12" t="s">
        <v>127</v>
      </c>
      <c r="B29" t="str">
        <f t="shared" si="1"/>
        <v xml:space="preserve"> "PORTEIRO JUDICIARIO II (ANALISTA JUDICIARIO - AREA DE APOIO JUDICIARIO E ADMINISTRATIVO) - LEI Nº 17.663/2012, ANEXO IX" </v>
      </c>
    </row>
    <row r="30" spans="1:2" x14ac:dyDescent="0.3">
      <c r="A30" s="12" t="s">
        <v>128</v>
      </c>
      <c r="B30" t="str">
        <f t="shared" si="1"/>
        <v xml:space="preserve"> "AGENTE ADMINISTRATIVO" </v>
      </c>
    </row>
    <row r="31" spans="1:2" x14ac:dyDescent="0.3">
      <c r="A31" s="12" t="s">
        <v>129</v>
      </c>
      <c r="B31" t="str">
        <f t="shared" si="1"/>
        <v xml:space="preserve"> "AUXILIAR DE SERVIÇOS GERAIS" </v>
      </c>
    </row>
    <row r="32" spans="1:2" x14ac:dyDescent="0.3">
      <c r="A32" s="12" t="s">
        <v>130</v>
      </c>
      <c r="B32" t="str">
        <f t="shared" si="1"/>
        <v xml:space="preserve"> "ESCRITURÁRIO" </v>
      </c>
    </row>
    <row r="33" spans="1:2" x14ac:dyDescent="0.3">
      <c r="A33" s="12" t="s">
        <v>131</v>
      </c>
      <c r="B33" t="str">
        <f t="shared" si="1"/>
        <v xml:space="preserve"> "FISCAL DE VIGILANCIA SANITARIA" </v>
      </c>
    </row>
    <row r="34" spans="1:2" x14ac:dyDescent="0.3">
      <c r="A34" s="12" t="s">
        <v>132</v>
      </c>
      <c r="B34" t="str">
        <f t="shared" si="1"/>
        <v xml:space="preserve"> "AUXILIAR ADMINISTRATIVO" </v>
      </c>
    </row>
    <row r="35" spans="1:2" x14ac:dyDescent="0.3">
      <c r="A35" s="12" t="s">
        <v>133</v>
      </c>
      <c r="B35" t="str">
        <f t="shared" si="1"/>
        <v xml:space="preserve"> "CONTADOR, DISTRIBUIDOR E PARTIDOR JUDICIARIO II (ANALISTA JUDICIARIO - AREA ESPECIALIZADA) - LEI Nº 17.663/2012, ANEXO IX" </v>
      </c>
    </row>
    <row r="36" spans="1:2" x14ac:dyDescent="0.3">
      <c r="A36" s="12" t="s">
        <v>134</v>
      </c>
      <c r="B36" t="str">
        <f t="shared" si="1"/>
        <v xml:space="preserve"> "JUIZ DE DIREITO DE ENTR.INTERMEDIARIA" </v>
      </c>
    </row>
    <row r="37" spans="1:2" x14ac:dyDescent="0.3">
      <c r="A37" s="12" t="s">
        <v>135</v>
      </c>
      <c r="B37" t="str">
        <f t="shared" si="1"/>
        <v xml:space="preserve"> "ANALISTA JUDICIÁRIO - ÁREA JUDICIÁRIA" </v>
      </c>
    </row>
    <row r="38" spans="1:2" x14ac:dyDescent="0.3">
      <c r="A38" s="12" t="s">
        <v>136</v>
      </c>
      <c r="B38" t="str">
        <f t="shared" si="1"/>
        <v xml:space="preserve"> "AUXILIAR JUDICIARIO-QS (ANALISTA JUDICIARIO - AREA DE APOIO JUDICIARIO E ADMINISTRATIVO) - LEI Nº 17.663/2012, ANEXO IX" </v>
      </c>
    </row>
    <row r="39" spans="1:2" x14ac:dyDescent="0.3">
      <c r="A39" s="12" t="s">
        <v>137</v>
      </c>
      <c r="B39" t="str">
        <f t="shared" si="1"/>
        <v xml:space="preserve"> "AUXILIAR DE SERVICOS GERAIS-QS" </v>
      </c>
    </row>
    <row r="40" spans="1:2" x14ac:dyDescent="0.3">
      <c r="A40" s="12" t="s">
        <v>138</v>
      </c>
      <c r="B40" t="str">
        <f t="shared" si="1"/>
        <v xml:space="preserve"> "TECNICO JUDICIARIO-QS" </v>
      </c>
    </row>
    <row r="41" spans="1:2" x14ac:dyDescent="0.3">
      <c r="A41" s="12" t="s">
        <v>139</v>
      </c>
      <c r="B41" t="str">
        <f t="shared" si="1"/>
        <v xml:space="preserve"> "DEPOSITARIO JUDICIARIO I (ANALISTA JUDICIARIO - AREA DE APOIO JUDICIARIO E ADMINISTRATIVO) - LEI Nº 17.663/2012, ANEXO IX" </v>
      </c>
    </row>
    <row r="42" spans="1:2" x14ac:dyDescent="0.3">
      <c r="A42" s="12" t="s">
        <v>140</v>
      </c>
      <c r="B42" t="str">
        <f t="shared" si="1"/>
        <v xml:space="preserve"> "JUIZ DE DIREITO DE TURMA RECURSAL" </v>
      </c>
    </row>
    <row r="43" spans="1:2" x14ac:dyDescent="0.3">
      <c r="A43" s="12" t="s">
        <v>141</v>
      </c>
      <c r="B43" t="str">
        <f t="shared" si="1"/>
        <v xml:space="preserve"> "OFICIAL DE JUSTIÇA (ANALISTA JUDICIARIO - AREA JUDICIARIA - OFICIAL DE JUSTIÇA AVALIADOR) - LEI Nº 17.663/2012, ANEXO VIII" </v>
      </c>
    </row>
    <row r="44" spans="1:2" x14ac:dyDescent="0.3">
      <c r="A44" s="12" t="s">
        <v>142</v>
      </c>
      <c r="B44" t="str">
        <f t="shared" si="1"/>
        <v xml:space="preserve"> "OFICIAL DE JUSTIÇA-AVALIADOR JUDICIARIO QS II (ANALISTA JUDICIARIO - AREA JUDICIARIA - OFICIAL DE JUSTIÇA AVALIADOR) - LEI Nº 17.663/2012, ANEXO VIII"</v>
      </c>
    </row>
    <row r="45" spans="1:2" x14ac:dyDescent="0.3">
      <c r="A45" s="12" t="s">
        <v>143</v>
      </c>
      <c r="B45" t="str">
        <f t="shared" si="1"/>
        <v xml:space="preserve"> "TRABALHADOR SERV. COLET. LIMP. E CONS. AREAS PUBLICAS" </v>
      </c>
    </row>
    <row r="46" spans="1:2" x14ac:dyDescent="0.3">
      <c r="A46" s="12" t="s">
        <v>144</v>
      </c>
      <c r="B46" t="str">
        <f t="shared" si="1"/>
        <v xml:space="preserve"> "OFICIAL DE JUSTIÇA - QS" </v>
      </c>
    </row>
    <row r="47" spans="1:2" x14ac:dyDescent="0.3">
      <c r="A47" s="12" t="s">
        <v>145</v>
      </c>
      <c r="B47" t="str">
        <f t="shared" si="1"/>
        <v xml:space="preserve"> "ESCREVENTE JUDICIARIO (ANALISTA JUDICIARIA - AREA DE APOIO JUDICIARIO E ADMINISTRATIVO) - LEI Nº 17.663/2012, ANEXO IX" </v>
      </c>
    </row>
    <row r="48" spans="1:2" x14ac:dyDescent="0.3">
      <c r="A48" s="12" t="s">
        <v>146</v>
      </c>
      <c r="B48" t="str">
        <f t="shared" si="1"/>
        <v xml:space="preserve"> "ANALISTA JUDICIARIO - AREA ESPECIALIZADA" </v>
      </c>
    </row>
    <row r="49" spans="1:2" x14ac:dyDescent="0.3">
      <c r="A49" s="12" t="s">
        <v>147</v>
      </c>
      <c r="B49" t="str">
        <f t="shared" si="1"/>
        <v xml:space="preserve"> "CONTADOR JUDICIARIO II (ANALISTA JUDICIARIO - AREA ESPECIALIZADA) - LEI Nº 17.663/2012, ANEXO IX" </v>
      </c>
    </row>
    <row r="50" spans="1:2" x14ac:dyDescent="0.3">
      <c r="A50" s="12" t="s">
        <v>148</v>
      </c>
      <c r="B50" t="str">
        <f t="shared" si="1"/>
        <v xml:space="preserve"> "PROFISSIONAL DE EDUCAÇÃO I - PEDAGOGO" </v>
      </c>
    </row>
    <row r="51" spans="1:2" x14ac:dyDescent="0.3">
      <c r="A51" s="12" t="s">
        <v>149</v>
      </c>
      <c r="B51" t="str">
        <f t="shared" si="1"/>
        <v xml:space="preserve"> "TECNICO JUDICIARIO" </v>
      </c>
    </row>
    <row r="52" spans="1:2" x14ac:dyDescent="0.3">
      <c r="A52" s="12" t="s">
        <v>150</v>
      </c>
      <c r="B52" t="str">
        <f t="shared" si="1"/>
        <v xml:space="preserve"> "JUIZ SUBSTITUTO" </v>
      </c>
    </row>
    <row r="53" spans="1:2" x14ac:dyDescent="0.3">
      <c r="A53" s="12" t="s">
        <v>151</v>
      </c>
      <c r="B53" t="str">
        <f t="shared" si="1"/>
        <v xml:space="preserve"> "AGENTE DE SERVIÇOS GERAIS" </v>
      </c>
    </row>
    <row r="54" spans="1:2" x14ac:dyDescent="0.3">
      <c r="A54" s="12" t="s">
        <v>152</v>
      </c>
      <c r="B54" t="str">
        <f t="shared" si="1"/>
        <v xml:space="preserve"> "OFICIAL DE JUSTIÇA-AVALIADOR JUDICIARIO QS III (ANALISTA JUDICIARIO - AREA JUDICIARIA - OFICIAL DE JUSTIÇA AVALIADOR) - LEI Nº 17.663/2012, ANEXO IX" </v>
      </c>
    </row>
    <row r="55" spans="1:2" x14ac:dyDescent="0.3">
      <c r="A55" s="12" t="s">
        <v>153</v>
      </c>
      <c r="B55" t="str">
        <f t="shared" si="1"/>
        <v xml:space="preserve"> "AUXILIAR EDUCACIONAL" </v>
      </c>
    </row>
    <row r="56" spans="1:2" x14ac:dyDescent="0.3">
      <c r="A56" s="12" t="s">
        <v>154</v>
      </c>
      <c r="B56" t="str">
        <f t="shared" si="1"/>
        <v xml:space="preserve"> "COZINHEIRA" </v>
      </c>
    </row>
    <row r="57" spans="1:2" x14ac:dyDescent="0.3">
      <c r="A57" s="12" t="s">
        <v>155</v>
      </c>
      <c r="B57" t="str">
        <f t="shared" si="1"/>
        <v xml:space="preserve"> "FISCAL DE SERVIÇOS PUBLICOS" </v>
      </c>
    </row>
    <row r="58" spans="1:2" x14ac:dyDescent="0.3">
      <c r="A58" s="12" t="s">
        <v>156</v>
      </c>
      <c r="B58" t="str">
        <f t="shared" si="1"/>
        <v xml:space="preserve"> "ESCREVENTE JUDICIARIO-QS, III (ANALISTA JUDICIARIO - AREA DE APOIO JUDICIARIO E ADMINISTRATIVO) - LEI Nº 17.663/2012, ANEXO IX" </v>
      </c>
    </row>
    <row r="59" spans="1:2" x14ac:dyDescent="0.3">
      <c r="A59" s="12" t="s">
        <v>157</v>
      </c>
      <c r="B59" t="str">
        <f t="shared" si="1"/>
        <v xml:space="preserve"> "MERENDEIRA" </v>
      </c>
    </row>
    <row r="60" spans="1:2" x14ac:dyDescent="0.3">
      <c r="A60" s="12" t="s">
        <v>158</v>
      </c>
      <c r="B60" t="str">
        <f t="shared" si="1"/>
        <v xml:space="preserve"> "DEPOSITARIO JUDICIARIO II (ANALISTA JUDICIARIO - AREA DE APOIO JUDICIARIO E ADMINISTRATIVO) - LEI Nº 17.663/2012, ANEXO IX" </v>
      </c>
    </row>
    <row r="61" spans="1:2" x14ac:dyDescent="0.3">
      <c r="A61" s="12" t="s">
        <v>159</v>
      </c>
      <c r="B61" t="str">
        <f t="shared" si="1"/>
        <v xml:space="preserve"> "AUXILIAR DE SERVIÇOS GERAIS" </v>
      </c>
    </row>
    <row r="62" spans="1:2" x14ac:dyDescent="0.3">
      <c r="A62" s="12" t="s">
        <v>160</v>
      </c>
      <c r="B62" t="str">
        <f t="shared" si="1"/>
        <v xml:space="preserve"> "ARQUITETA" </v>
      </c>
    </row>
    <row r="63" spans="1:2" x14ac:dyDescent="0.3">
      <c r="A63" s="12" t="s">
        <v>161</v>
      </c>
      <c r="B63" t="str">
        <f t="shared" si="1"/>
        <v xml:space="preserve"> "ESCRIVAO DE POLICIA" </v>
      </c>
    </row>
    <row r="64" spans="1:2" x14ac:dyDescent="0.3">
      <c r="A64" s="12" t="s">
        <v>162</v>
      </c>
      <c r="B64" t="str">
        <f t="shared" si="1"/>
        <v xml:space="preserve"> "PROFESSOR P.E. - I" </v>
      </c>
    </row>
    <row r="65" spans="1:2" x14ac:dyDescent="0.3">
      <c r="A65" s="12" t="s">
        <v>163</v>
      </c>
      <c r="B65" t="str">
        <f t="shared" si="1"/>
        <v xml:space="preserve"> "PORTEIRO JUDICIARIO III (ANALISTA JUDICIARIO - AREA DE APOIO JUDICIARIO E ADMINISTRATIVO) - LEI Nº 17.663/2012, ANEXO IX" </v>
      </c>
    </row>
    <row r="66" spans="1:2" x14ac:dyDescent="0.3">
      <c r="A66" s="12" t="s">
        <v>164</v>
      </c>
      <c r="B66" t="str">
        <f t="shared" si="1"/>
        <v xml:space="preserve"> "JUIZ SUBSTITUTO EM SEGUNDO GRAU" </v>
      </c>
    </row>
    <row r="67" spans="1:2" x14ac:dyDescent="0.3">
      <c r="A67" s="12" t="s">
        <v>165</v>
      </c>
      <c r="B67" t="str">
        <f t="shared" si="1"/>
        <v xml:space="preserve"> "TRABALHADOR DE LIMPEZA URBANA I" </v>
      </c>
    </row>
    <row r="68" spans="1:2" x14ac:dyDescent="0.3">
      <c r="A68" s="12" t="s">
        <v>166</v>
      </c>
      <c r="B68" t="str">
        <f t="shared" si="1"/>
        <v xml:space="preserve"> "ANALISTA AMBIENTAL - BIOLOGIA" </v>
      </c>
    </row>
    <row r="69" spans="1:2" x14ac:dyDescent="0.3">
      <c r="A69" s="12" t="s">
        <v>167</v>
      </c>
      <c r="B69" t="str">
        <f t="shared" si="1"/>
        <v xml:space="preserve"> "SECRETÁRIO DE ESCOLA" </v>
      </c>
    </row>
    <row r="70" spans="1:2" x14ac:dyDescent="0.3">
      <c r="A70" s="12" t="s">
        <v>168</v>
      </c>
      <c r="B70" t="str">
        <f t="shared" si="1"/>
        <v xml:space="preserve"> "ESCRIVAO NAO OFICIALIZADO (ANALISTA JUDICIARIO - AREA JUDICIARIA) - LEI Nº 17.663/2012, ANEXO VIII" </v>
      </c>
    </row>
    <row r="71" spans="1:2" x14ac:dyDescent="0.3">
      <c r="A71" s="12" t="s">
        <v>169</v>
      </c>
      <c r="B71" t="str">
        <f t="shared" si="1"/>
        <v xml:space="preserve"> "TÉCNICO EM GESTÃO PÚBLICA" </v>
      </c>
    </row>
    <row r="72" spans="1:2" x14ac:dyDescent="0.3">
      <c r="A72" s="12" t="s">
        <v>170</v>
      </c>
      <c r="B72" t="str">
        <f t="shared" si="1"/>
        <v xml:space="preserve"> "TÉCNICO EM ENFERMAGEM" </v>
      </c>
    </row>
    <row r="73" spans="1:2" x14ac:dyDescent="0.3">
      <c r="A73" s="12" t="s">
        <v>171</v>
      </c>
      <c r="B73" t="str">
        <f t="shared" si="1"/>
        <v xml:space="preserve"> "ESCREVENTE JUDICIARIO-QS, II (ANALISTA JUDICIARIO - AREA DE APOIO JUDICIARIO E ADMINISTRATIVO) - LEI Nº 17.663/2012, ANEXO IX" </v>
      </c>
    </row>
    <row r="74" spans="1:2" x14ac:dyDescent="0.3">
      <c r="A74" s="12" t="s">
        <v>172</v>
      </c>
      <c r="B74" t="str">
        <f t="shared" si="1"/>
        <v xml:space="preserve"> "ESPECIALISTA EM SAUDE" </v>
      </c>
    </row>
    <row r="75" spans="1:2" x14ac:dyDescent="0.3">
      <c r="A75" s="12" t="s">
        <v>173</v>
      </c>
      <c r="B75" t="str">
        <f t="shared" ref="B75:B99" si="2">MID(A75,5,500)</f>
        <v xml:space="preserve"> "ASSISTENTE DE ATIVIDADES ADMINISTRATIVAS" </v>
      </c>
    </row>
    <row r="76" spans="1:2" x14ac:dyDescent="0.3">
      <c r="A76" s="12" t="s">
        <v>174</v>
      </c>
      <c r="B76" t="str">
        <f t="shared" si="2"/>
        <v xml:space="preserve"> "GESTOR JURIDICO" </v>
      </c>
    </row>
    <row r="77" spans="1:2" x14ac:dyDescent="0.3">
      <c r="A77" s="12" t="s">
        <v>175</v>
      </c>
      <c r="B77" t="str">
        <f t="shared" si="2"/>
        <v xml:space="preserve"> "AUXILIAR TECNICO DE SAUDE" </v>
      </c>
    </row>
    <row r="78" spans="1:2" x14ac:dyDescent="0.3">
      <c r="A78" s="12" t="s">
        <v>176</v>
      </c>
      <c r="B78" t="str">
        <f t="shared" si="2"/>
        <v xml:space="preserve"> "AUXILIAR DE ATIVIDADES EDUCATIVAS" </v>
      </c>
    </row>
    <row r="79" spans="1:2" x14ac:dyDescent="0.3">
      <c r="A79" s="12" t="s">
        <v>177</v>
      </c>
      <c r="B79" t="str">
        <f t="shared" si="2"/>
        <v xml:space="preserve"> "OUVIDOR PUBLICO" </v>
      </c>
    </row>
    <row r="80" spans="1:2" x14ac:dyDescent="0.3">
      <c r="A80" s="12" t="s">
        <v>178</v>
      </c>
      <c r="B80" t="str">
        <f t="shared" si="2"/>
        <v xml:space="preserve"> "GERENTE ADMINISTRATIVO DO CEAMI XL = CC3-A" </v>
      </c>
    </row>
    <row r="81" spans="1:2" x14ac:dyDescent="0.3">
      <c r="A81" s="12" t="s">
        <v>179</v>
      </c>
      <c r="B81" t="str">
        <f t="shared" si="2"/>
        <v xml:space="preserve"> "PROFESSOR DA EDUCAÇÃO BÁSICA" </v>
      </c>
    </row>
    <row r="82" spans="1:2" x14ac:dyDescent="0.3">
      <c r="A82" s="12" t="s">
        <v>180</v>
      </c>
      <c r="B82" t="str">
        <f t="shared" si="2"/>
        <v xml:space="preserve"> "TECNICO AGRICOLA" </v>
      </c>
    </row>
    <row r="83" spans="1:2" x14ac:dyDescent="0.3">
      <c r="A83" s="12" t="s">
        <v>181</v>
      </c>
      <c r="B83" t="str">
        <f t="shared" si="2"/>
        <v xml:space="preserve"> "ASSISTENTE DE GESTÃO ADMINISTRATIVA" </v>
      </c>
    </row>
    <row r="84" spans="1:2" x14ac:dyDescent="0.3">
      <c r="A84" s="12" t="s">
        <v>182</v>
      </c>
      <c r="B84" t="str">
        <f t="shared" si="2"/>
        <v xml:space="preserve"> "SECRETARIO DE CAMARA ISOLADA" </v>
      </c>
    </row>
    <row r="85" spans="1:2" x14ac:dyDescent="0.3">
      <c r="A85" s="12" t="s">
        <v>183</v>
      </c>
      <c r="B85" t="str">
        <f t="shared" si="2"/>
        <v xml:space="preserve"> "AGENTE DE APOIO EDUCACIONAL III" </v>
      </c>
    </row>
    <row r="86" spans="1:2" x14ac:dyDescent="0.3">
      <c r="A86" s="12" t="s">
        <v>184</v>
      </c>
      <c r="B86" t="str">
        <f t="shared" si="2"/>
        <v xml:space="preserve"> "ASSESSOR - A" </v>
      </c>
    </row>
    <row r="87" spans="1:2" x14ac:dyDescent="0.3">
      <c r="A87" s="12" t="s">
        <v>185</v>
      </c>
      <c r="B87" t="str">
        <f t="shared" si="2"/>
        <v xml:space="preserve"> "OFICIAL DE REGISTRO CIVIL-OFICIALIZADO-O" </v>
      </c>
    </row>
    <row r="88" spans="1:2" x14ac:dyDescent="0.3">
      <c r="A88" s="12" t="s">
        <v>186</v>
      </c>
      <c r="B88" t="str">
        <f t="shared" si="2"/>
        <v xml:space="preserve"> "GESTOR DE TECNOLOGIA DA INFORMAÇÃO" </v>
      </c>
    </row>
    <row r="89" spans="1:2" x14ac:dyDescent="0.3">
      <c r="A89" s="12" t="s">
        <v>187</v>
      </c>
      <c r="B89" t="str">
        <f t="shared" si="2"/>
        <v xml:space="preserve"> "JUIZ DE DIREITO 1ª ENTRANCIA" </v>
      </c>
    </row>
    <row r="90" spans="1:2" x14ac:dyDescent="0.3">
      <c r="A90" s="12" t="s">
        <v>188</v>
      </c>
      <c r="B90" t="str">
        <f t="shared" si="2"/>
        <v xml:space="preserve"> "DISTRIBUIDOR E PARTIDOR JUDICIARIO II (ANALISTA JUDICIARIO - AREA JUDICIARIA) - LEI Nº 17.663/2012, ANEXO VIII" </v>
      </c>
    </row>
    <row r="91" spans="1:2" x14ac:dyDescent="0.3">
      <c r="A91" s="12" t="s">
        <v>189</v>
      </c>
      <c r="B91" t="str">
        <f t="shared" si="2"/>
        <v xml:space="preserve"> "AUXILIAR DE DESENVOLVIMENTO INFANTIL" </v>
      </c>
    </row>
    <row r="92" spans="1:2" x14ac:dyDescent="0.3">
      <c r="A92" s="12" t="s">
        <v>190</v>
      </c>
      <c r="B92" t="str">
        <f t="shared" si="2"/>
        <v xml:space="preserve"> "TELEFONISTA" </v>
      </c>
    </row>
    <row r="93" spans="1:2" x14ac:dyDescent="0.3">
      <c r="A93" s="12" t="s">
        <v>191</v>
      </c>
      <c r="B93" t="str">
        <f t="shared" si="2"/>
        <v xml:space="preserve"> "AUXILIAR OPERACIONAL" </v>
      </c>
    </row>
    <row r="94" spans="1:2" x14ac:dyDescent="0.3">
      <c r="A94" s="12" t="s">
        <v>192</v>
      </c>
      <c r="B94" t="str">
        <f t="shared" si="2"/>
        <v xml:space="preserve"> "ASSISTENTE ADMINISTRATIVO" </v>
      </c>
    </row>
    <row r="95" spans="1:2" x14ac:dyDescent="0.3">
      <c r="A95" s="12" t="s">
        <v>193</v>
      </c>
      <c r="B95" t="str">
        <f t="shared" si="2"/>
        <v xml:space="preserve"> "MOTORISTA" </v>
      </c>
    </row>
    <row r="96" spans="1:2" x14ac:dyDescent="0.3">
      <c r="A96" s="12" t="s">
        <v>194</v>
      </c>
      <c r="B96" t="str">
        <f t="shared" si="2"/>
        <v xml:space="preserve"> "MEDICO" </v>
      </c>
    </row>
    <row r="97" spans="1:2" x14ac:dyDescent="0.3">
      <c r="A97" s="12" t="s">
        <v>195</v>
      </c>
      <c r="B97" t="str">
        <f t="shared" si="2"/>
        <v xml:space="preserve"> "VIGILANTE" </v>
      </c>
    </row>
    <row r="98" spans="1:2" x14ac:dyDescent="0.3">
      <c r="A98" s="12" t="s">
        <v>196</v>
      </c>
      <c r="B98" t="str">
        <f t="shared" si="2"/>
        <v xml:space="preserve"> "ASSISTENTE DE RECURSOS HUMANOS" </v>
      </c>
    </row>
    <row r="99" spans="1:2" x14ac:dyDescent="0.3">
      <c r="A99" s="12" t="s">
        <v>197</v>
      </c>
      <c r="B99" t="str">
        <f t="shared" si="2"/>
        <v xml:space="preserve"> "EXECUTOR ADMINISTRATIVO" </v>
      </c>
    </row>
    <row r="100" spans="1:2" x14ac:dyDescent="0.3">
      <c r="A100" s="12" t="s">
        <v>198</v>
      </c>
      <c r="B100" t="str">
        <f>MID(A100,6,500)</f>
        <v xml:space="preserve"> "RECEPCIONISTA" </v>
      </c>
    </row>
    <row r="101" spans="1:2" x14ac:dyDescent="0.3">
      <c r="A101" s="12" t="s">
        <v>199</v>
      </c>
      <c r="B101" t="str">
        <f t="shared" ref="B101:B164" si="3">MID(A101,6,500)</f>
        <v xml:space="preserve"> "AUXILIAR DE SERVICOS DE HIGIENE E ALIMENTACAO" </v>
      </c>
    </row>
    <row r="102" spans="1:2" x14ac:dyDescent="0.3">
      <c r="A102" s="12" t="s">
        <v>200</v>
      </c>
      <c r="B102" t="str">
        <f t="shared" si="3"/>
        <v xml:space="preserve"> "ESCRITURÁRIO II" </v>
      </c>
    </row>
    <row r="103" spans="1:2" x14ac:dyDescent="0.3">
      <c r="A103" s="12" t="s">
        <v>201</v>
      </c>
      <c r="B103" t="str">
        <f t="shared" si="3"/>
        <v xml:space="preserve"> "CUIDADOR" </v>
      </c>
    </row>
    <row r="104" spans="1:2" x14ac:dyDescent="0.3">
      <c r="A104" s="12" t="s">
        <v>202</v>
      </c>
      <c r="B104" t="str">
        <f t="shared" si="3"/>
        <v xml:space="preserve"> "PROFISSIONAL DE EDUCACAO II" </v>
      </c>
    </row>
    <row r="105" spans="1:2" x14ac:dyDescent="0.3">
      <c r="A105" s="12" t="s">
        <v>203</v>
      </c>
      <c r="B105" t="str">
        <f t="shared" si="3"/>
        <v xml:space="preserve"> "PROFESSOR PIII - NIVEL A" </v>
      </c>
    </row>
    <row r="106" spans="1:2" x14ac:dyDescent="0.3">
      <c r="A106" s="12" t="s">
        <v>204</v>
      </c>
      <c r="B106" t="str">
        <f t="shared" si="3"/>
        <v xml:space="preserve"> "JUIZ DE DIREITO 2ª ENTRANCIA" </v>
      </c>
    </row>
    <row r="107" spans="1:2" x14ac:dyDescent="0.3">
      <c r="A107" s="12" t="s">
        <v>205</v>
      </c>
      <c r="B107" t="str">
        <f t="shared" si="3"/>
        <v xml:space="preserve"> "VIGIA" </v>
      </c>
    </row>
    <row r="108" spans="1:2" x14ac:dyDescent="0.3">
      <c r="A108" s="12" t="s">
        <v>206</v>
      </c>
      <c r="B108" t="str">
        <f t="shared" si="3"/>
        <v xml:space="preserve"> "RECREADOR" </v>
      </c>
    </row>
    <row r="109" spans="1:2" x14ac:dyDescent="0.3">
      <c r="A109" s="12" t="s">
        <v>207</v>
      </c>
      <c r="B109" t="str">
        <f t="shared" si="3"/>
        <v xml:space="preserve"> "OPERADOR DE COMPUTADOR" </v>
      </c>
    </row>
    <row r="110" spans="1:2" x14ac:dyDescent="0.3">
      <c r="A110" s="12" t="s">
        <v>208</v>
      </c>
      <c r="B110" t="str">
        <f t="shared" si="3"/>
        <v xml:space="preserve"> "ZELADORA" </v>
      </c>
    </row>
    <row r="111" spans="1:2" x14ac:dyDescent="0.3">
      <c r="A111" s="12" t="s">
        <v>209</v>
      </c>
      <c r="B111" t="str">
        <f t="shared" si="3"/>
        <v xml:space="preserve"> "EXECUTOR DE SERVIÇOS AUXILIARES I" </v>
      </c>
    </row>
    <row r="112" spans="1:2" x14ac:dyDescent="0.3">
      <c r="A112" s="12" t="s">
        <v>210</v>
      </c>
      <c r="B112" t="str">
        <f t="shared" si="3"/>
        <v xml:space="preserve"> "PROFISSIONAL DO MAGISTÉRIO" </v>
      </c>
    </row>
    <row r="113" spans="1:2" x14ac:dyDescent="0.3">
      <c r="A113" s="12" t="s">
        <v>211</v>
      </c>
      <c r="B113" t="str">
        <f t="shared" si="3"/>
        <v xml:space="preserve"> "AUXILIAR ADMINISTRATIVO - SERVIÇOS GERAIS" </v>
      </c>
    </row>
    <row r="114" spans="1:2" x14ac:dyDescent="0.3">
      <c r="A114" s="12" t="s">
        <v>212</v>
      </c>
      <c r="B114" t="str">
        <f t="shared" si="3"/>
        <v xml:space="preserve"> "AGENTE COMUNITARIO DE SAUDE" </v>
      </c>
    </row>
    <row r="115" spans="1:2" x14ac:dyDescent="0.3">
      <c r="A115" s="12" t="s">
        <v>213</v>
      </c>
      <c r="B115" t="str">
        <f t="shared" si="3"/>
        <v xml:space="preserve"> "CONTADOR JUDICIARIO III (ANALISTA JUDICIARIO - AREA ESPECIALIZADA) - LEI Nº 17.663/2012, ANEXO IX" </v>
      </c>
    </row>
    <row r="116" spans="1:2" x14ac:dyDescent="0.3">
      <c r="A116" s="12" t="s">
        <v>214</v>
      </c>
      <c r="B116" t="str">
        <f t="shared" si="3"/>
        <v xml:space="preserve"> "BIBLIOTECARIO" </v>
      </c>
    </row>
    <row r="117" spans="1:2" x14ac:dyDescent="0.3">
      <c r="A117" s="12" t="s">
        <v>215</v>
      </c>
      <c r="B117" t="str">
        <f t="shared" si="3"/>
        <v xml:space="preserve"> "GARI" </v>
      </c>
    </row>
    <row r="118" spans="1:2" x14ac:dyDescent="0.3">
      <c r="A118" s="12" t="s">
        <v>216</v>
      </c>
      <c r="B118" t="str">
        <f t="shared" si="3"/>
        <v xml:space="preserve"> "AUXILIAR DE SERVIÇOS GERAIS III" </v>
      </c>
    </row>
    <row r="119" spans="1:2" x14ac:dyDescent="0.3">
      <c r="A119" s="12" t="s">
        <v>217</v>
      </c>
      <c r="B119" t="str">
        <f t="shared" si="3"/>
        <v xml:space="preserve"> "AGENTE DE INSPECAO" </v>
      </c>
    </row>
    <row r="120" spans="1:2" x14ac:dyDescent="0.3">
      <c r="A120" s="12" t="s">
        <v>218</v>
      </c>
      <c r="B120" t="str">
        <f t="shared" si="3"/>
        <v xml:space="preserve"> "ANALISTA TÉCNICO - ADMINISTRADOR" </v>
      </c>
    </row>
    <row r="121" spans="1:2" x14ac:dyDescent="0.3">
      <c r="A121" s="12" t="s">
        <v>219</v>
      </c>
      <c r="B121" t="str">
        <f t="shared" si="3"/>
        <v xml:space="preserve"> "AGENTE ADMINISTRATIVO II" </v>
      </c>
    </row>
    <row r="122" spans="1:2" x14ac:dyDescent="0.3">
      <c r="A122" s="12" t="s">
        <v>220</v>
      </c>
      <c r="B122" t="str">
        <f t="shared" si="3"/>
        <v xml:space="preserve"> "AUXILIAR DE CMEI" </v>
      </c>
    </row>
    <row r="123" spans="1:2" x14ac:dyDescent="0.3">
      <c r="A123" s="12" t="s">
        <v>221</v>
      </c>
      <c r="B123" t="str">
        <f t="shared" si="3"/>
        <v xml:space="preserve"> "MÉDICO" </v>
      </c>
    </row>
    <row r="124" spans="1:2" x14ac:dyDescent="0.3">
      <c r="A124" s="12" t="s">
        <v>222</v>
      </c>
      <c r="B124" t="str">
        <f t="shared" si="3"/>
        <v xml:space="preserve"> "AUXILIAR BIBLIOTECARIO" </v>
      </c>
    </row>
    <row r="125" spans="1:2" x14ac:dyDescent="0.3">
      <c r="A125" s="12" t="s">
        <v>223</v>
      </c>
      <c r="B125" t="str">
        <f t="shared" si="3"/>
        <v xml:space="preserve"> "ANALISTA JUDICIARIO" </v>
      </c>
    </row>
    <row r="126" spans="1:2" x14ac:dyDescent="0.3">
      <c r="A126" s="12" t="s">
        <v>224</v>
      </c>
      <c r="B126" t="str">
        <f t="shared" si="3"/>
        <v xml:space="preserve"> "AUDITOR" </v>
      </c>
    </row>
    <row r="127" spans="1:2" x14ac:dyDescent="0.3">
      <c r="A127" s="12" t="s">
        <v>225</v>
      </c>
      <c r="B127" t="str">
        <f t="shared" si="3"/>
        <v xml:space="preserve"> "DISTRIBUIDOR JUDICIARIO II (ANALISTA JUDICIARIO - AREA JUDICIARIA) - LEI Nº 17.663/2012, ANEXO VIII" </v>
      </c>
    </row>
    <row r="128" spans="1:2" x14ac:dyDescent="0.3">
      <c r="A128" s="12" t="s">
        <v>226</v>
      </c>
      <c r="B128" t="str">
        <f t="shared" si="3"/>
        <v xml:space="preserve"> "FISCAL DE POSTURA" </v>
      </c>
    </row>
    <row r="129" spans="1:2" x14ac:dyDescent="0.3">
      <c r="A129" s="12" t="s">
        <v>227</v>
      </c>
      <c r="B129" t="str">
        <f t="shared" si="3"/>
        <v xml:space="preserve"> "FISCAL DE TRIBUTOS" </v>
      </c>
    </row>
    <row r="130" spans="1:2" x14ac:dyDescent="0.3">
      <c r="A130" s="12" t="s">
        <v>228</v>
      </c>
      <c r="B130" t="str">
        <f t="shared" si="3"/>
        <v xml:space="preserve"> "ESCRITURARIA" </v>
      </c>
    </row>
    <row r="131" spans="1:2" x14ac:dyDescent="0.3">
      <c r="A131" s="12" t="s">
        <v>229</v>
      </c>
      <c r="B131" t="str">
        <f t="shared" si="3"/>
        <v xml:space="preserve"> "TÉCNICO EM INFORMÁTICA" </v>
      </c>
    </row>
    <row r="132" spans="1:2" x14ac:dyDescent="0.3">
      <c r="A132" s="12" t="s">
        <v>230</v>
      </c>
      <c r="B132" t="str">
        <f t="shared" si="3"/>
        <v xml:space="preserve"> "ANALISTA DE GESTÃO ADMINISTRATIVA" </v>
      </c>
    </row>
    <row r="133" spans="1:2" x14ac:dyDescent="0.3">
      <c r="A133" s="12" t="s">
        <v>231</v>
      </c>
      <c r="B133" t="str">
        <f t="shared" si="3"/>
        <v xml:space="preserve"> "ASSISTENTE LEGISLATIVO" </v>
      </c>
    </row>
    <row r="134" spans="1:2" x14ac:dyDescent="0.3">
      <c r="A134" s="12" t="s">
        <v>232</v>
      </c>
      <c r="B134" t="str">
        <f t="shared" si="3"/>
        <v xml:space="preserve"> "SERVENTE DE LIMPEZA" </v>
      </c>
    </row>
    <row r="135" spans="1:2" x14ac:dyDescent="0.3">
      <c r="A135" s="12" t="s">
        <v>233</v>
      </c>
      <c r="B135" t="str">
        <f t="shared" si="3"/>
        <v xml:space="preserve"> "PSICÓLOGA" </v>
      </c>
    </row>
    <row r="136" spans="1:2" x14ac:dyDescent="0.3">
      <c r="A136" s="12" t="s">
        <v>234</v>
      </c>
      <c r="B136" t="str">
        <f t="shared" si="3"/>
        <v xml:space="preserve"> "OPERADOR DE MAQUINA LEVE" </v>
      </c>
    </row>
    <row r="137" spans="1:2" x14ac:dyDescent="0.3">
      <c r="A137" s="12" t="s">
        <v>235</v>
      </c>
      <c r="B137" t="str">
        <f t="shared" si="3"/>
        <v xml:space="preserve"> "TECNICO ADMINISTRATIVO EXECUTIVO" </v>
      </c>
    </row>
    <row r="138" spans="1:2" x14ac:dyDescent="0.3">
      <c r="A138" s="12" t="s">
        <v>236</v>
      </c>
      <c r="B138" t="str">
        <f t="shared" si="3"/>
        <v xml:space="preserve"> "PROFESSOR PIII" </v>
      </c>
    </row>
    <row r="139" spans="1:2" x14ac:dyDescent="0.3">
      <c r="A139" s="12" t="s">
        <v>237</v>
      </c>
      <c r="B139" t="str">
        <f t="shared" si="3"/>
        <v xml:space="preserve"> "JARDINEIRO" </v>
      </c>
    </row>
    <row r="140" spans="1:2" x14ac:dyDescent="0.3">
      <c r="A140" s="12" t="s">
        <v>238</v>
      </c>
      <c r="B140" t="str">
        <f t="shared" si="3"/>
        <v xml:space="preserve"> "SECRETARIO ASSISTENTE" </v>
      </c>
    </row>
    <row r="141" spans="1:2" x14ac:dyDescent="0.3">
      <c r="A141" s="12" t="s">
        <v>239</v>
      </c>
      <c r="B141" t="str">
        <f t="shared" si="3"/>
        <v xml:space="preserve"> "PSICOLOGO" </v>
      </c>
    </row>
    <row r="142" spans="1:2" x14ac:dyDescent="0.3">
      <c r="A142" s="12" t="s">
        <v>240</v>
      </c>
      <c r="B142" t="str">
        <f t="shared" si="3"/>
        <v xml:space="preserve"> "ARQUITETO" </v>
      </c>
    </row>
    <row r="143" spans="1:2" x14ac:dyDescent="0.3">
      <c r="A143" s="12" t="s">
        <v>241</v>
      </c>
      <c r="B143" t="str">
        <f t="shared" si="3"/>
        <v xml:space="preserve"> "DEPOSITARIO JUDICIARIO III (ANEXO III - LEI Nº 17.663/2012)" </v>
      </c>
    </row>
    <row r="144" spans="1:2" x14ac:dyDescent="0.3">
      <c r="A144" s="12" t="s">
        <v>242</v>
      </c>
      <c r="B144" t="str">
        <f t="shared" si="3"/>
        <v xml:space="preserve"> "AGENTE ADMINISTRATIVO \"A\"" </v>
      </c>
    </row>
    <row r="145" spans="1:2" x14ac:dyDescent="0.3">
      <c r="A145" s="12" t="s">
        <v>243</v>
      </c>
      <c r="B145" t="str">
        <f t="shared" si="3"/>
        <v xml:space="preserve"> "AGENTE DE POLICIA" </v>
      </c>
    </row>
    <row r="146" spans="1:2" x14ac:dyDescent="0.3">
      <c r="A146" s="12" t="s">
        <v>244</v>
      </c>
      <c r="B146" t="str">
        <f t="shared" si="3"/>
        <v xml:space="preserve"> "DISTRIBUIDOR JUDICIARIO III (ANALISTA JUDICIARIO - AREA JUDICIARIA) - LEI Nº 17.663/2012, ANEXO VIII" </v>
      </c>
    </row>
    <row r="147" spans="1:2" x14ac:dyDescent="0.3">
      <c r="A147" s="12" t="s">
        <v>245</v>
      </c>
      <c r="B147" t="str">
        <f t="shared" si="3"/>
        <v xml:space="preserve"> "FISCAL DE MEIO AMBIENTE E TURISMO" </v>
      </c>
    </row>
    <row r="148" spans="1:2" x14ac:dyDescent="0.3">
      <c r="A148" s="12" t="s">
        <v>246</v>
      </c>
      <c r="B148" t="str">
        <f t="shared" si="3"/>
        <v xml:space="preserve"> "AUDITOR DE SISTEMAS E SERVICOS DE SAUDE" </v>
      </c>
    </row>
    <row r="149" spans="1:2" x14ac:dyDescent="0.3">
      <c r="A149" s="12" t="s">
        <v>247</v>
      </c>
      <c r="B149" t="str">
        <f t="shared" si="3"/>
        <v xml:space="preserve"> "AUXILIAR ADMINISTRATIVO II" </v>
      </c>
    </row>
    <row r="150" spans="1:2" x14ac:dyDescent="0.3">
      <c r="A150" s="12" t="s">
        <v>248</v>
      </c>
      <c r="B150" t="str">
        <f t="shared" si="3"/>
        <v xml:space="preserve"> "ANALISTA DE COMUNICAÇÃO" </v>
      </c>
    </row>
    <row r="151" spans="1:2" x14ac:dyDescent="0.3">
      <c r="A151" s="12" t="s">
        <v>249</v>
      </c>
      <c r="B151" t="str">
        <f t="shared" si="3"/>
        <v xml:space="preserve"> "PROFESSOR II" </v>
      </c>
    </row>
    <row r="152" spans="1:2" x14ac:dyDescent="0.3">
      <c r="A152" s="12" t="s">
        <v>250</v>
      </c>
      <c r="B152" t="str">
        <f t="shared" si="3"/>
        <v xml:space="preserve"> "ASSISTENTE DE PORTADORES DE NECESSIDADES ESPECIAIS" </v>
      </c>
    </row>
    <row r="153" spans="1:2" x14ac:dyDescent="0.3">
      <c r="A153" s="12" t="s">
        <v>251</v>
      </c>
      <c r="B153" t="str">
        <f t="shared" si="3"/>
        <v xml:space="preserve"> "AGENTE DE SERVIÇO SOCIAL" </v>
      </c>
    </row>
    <row r="154" spans="1:2" x14ac:dyDescent="0.3">
      <c r="A154" s="12" t="s">
        <v>252</v>
      </c>
      <c r="B154" t="str">
        <f t="shared" si="3"/>
        <v xml:space="preserve"> "AUXILIAR DE SERVIÇOS" </v>
      </c>
    </row>
    <row r="155" spans="1:2" x14ac:dyDescent="0.3">
      <c r="A155" s="12" t="s">
        <v>253</v>
      </c>
      <c r="B155" t="str">
        <f t="shared" si="3"/>
        <v xml:space="preserve"> "INSTRUTOR DE ESPORTES" </v>
      </c>
    </row>
    <row r="156" spans="1:2" x14ac:dyDescent="0.3">
      <c r="A156" s="12" t="s">
        <v>254</v>
      </c>
      <c r="B156" t="str">
        <f t="shared" si="3"/>
        <v xml:space="preserve"> "AGENTE DE TRANSITO" </v>
      </c>
    </row>
    <row r="157" spans="1:2" x14ac:dyDescent="0.3">
      <c r="A157" s="12" t="s">
        <v>255</v>
      </c>
      <c r="B157" t="str">
        <f t="shared" si="3"/>
        <v xml:space="preserve"> "AGENTE DE SERV. DE HIGIENE E ALIMENTACAO" </v>
      </c>
    </row>
    <row r="158" spans="1:2" x14ac:dyDescent="0.3">
      <c r="A158" s="12" t="s">
        <v>256</v>
      </c>
      <c r="B158" t="str">
        <f t="shared" si="3"/>
        <v xml:space="preserve"> "AUXILIAR DE EDUCAÇÃO" </v>
      </c>
    </row>
    <row r="159" spans="1:2" x14ac:dyDescent="0.3">
      <c r="A159" s="12" t="s">
        <v>257</v>
      </c>
      <c r="B159" t="str">
        <f t="shared" si="3"/>
        <v xml:space="preserve"> "AUXILIAR DE SECRETARIA" </v>
      </c>
    </row>
    <row r="160" spans="1:2" x14ac:dyDescent="0.3">
      <c r="A160" s="12" t="s">
        <v>258</v>
      </c>
      <c r="B160" t="str">
        <f t="shared" si="3"/>
        <v xml:space="preserve"> "ASSISTENTE ADMINISTRATIVO EDUCACIONAL" </v>
      </c>
    </row>
    <row r="161" spans="1:2" x14ac:dyDescent="0.3">
      <c r="A161" s="12" t="s">
        <v>259</v>
      </c>
      <c r="B161" t="str">
        <f t="shared" si="3"/>
        <v xml:space="preserve"> "ANALISTA LEGISLATIVO" </v>
      </c>
    </row>
    <row r="162" spans="1:2" x14ac:dyDescent="0.3">
      <c r="A162" s="12" t="s">
        <v>260</v>
      </c>
      <c r="B162" t="str">
        <f t="shared" si="3"/>
        <v xml:space="preserve"> "SECRETARIO AUXILIAR" </v>
      </c>
    </row>
    <row r="163" spans="1:2" x14ac:dyDescent="0.3">
      <c r="A163" s="12" t="s">
        <v>261</v>
      </c>
      <c r="B163" t="str">
        <f t="shared" si="3"/>
        <v xml:space="preserve"> "AGENTE DE COMBATES ÀS ENDEMIAS" </v>
      </c>
    </row>
    <row r="164" spans="1:2" x14ac:dyDescent="0.3">
      <c r="A164" s="12" t="s">
        <v>262</v>
      </c>
      <c r="B164" t="str">
        <f t="shared" si="3"/>
        <v xml:space="preserve"> "DIGITADOR DE MICRO COMPUTADOR" </v>
      </c>
    </row>
    <row r="165" spans="1:2" x14ac:dyDescent="0.3">
      <c r="A165" s="12" t="s">
        <v>263</v>
      </c>
      <c r="B165" t="str">
        <f t="shared" ref="B165:B215" si="4">MID(A165,6,500)</f>
        <v xml:space="preserve"> "AGENTE DE ADMINISTRAÇÃO PÚBLICA" </v>
      </c>
    </row>
    <row r="166" spans="1:2" x14ac:dyDescent="0.3">
      <c r="A166" s="12" t="s">
        <v>264</v>
      </c>
      <c r="B166" t="str">
        <f t="shared" si="4"/>
        <v xml:space="preserve"> "ASSISTENTE DE EDUCAÇÃO INFANTIL" </v>
      </c>
    </row>
    <row r="167" spans="1:2" x14ac:dyDescent="0.3">
      <c r="A167" s="12" t="s">
        <v>265</v>
      </c>
      <c r="B167" t="str">
        <f t="shared" si="4"/>
        <v xml:space="preserve"> "ESCRIVAO I" </v>
      </c>
    </row>
    <row r="168" spans="1:2" x14ac:dyDescent="0.3">
      <c r="A168" s="12" t="s">
        <v>266</v>
      </c>
      <c r="B168" t="str">
        <f t="shared" si="4"/>
        <v xml:space="preserve"> "PEDAGOGO" </v>
      </c>
    </row>
    <row r="169" spans="1:2" x14ac:dyDescent="0.3">
      <c r="A169" s="12" t="s">
        <v>267</v>
      </c>
      <c r="B169" t="str">
        <f t="shared" si="4"/>
        <v xml:space="preserve"> "AGENTE DE TRÂNSITO" </v>
      </c>
    </row>
    <row r="170" spans="1:2" x14ac:dyDescent="0.3">
      <c r="A170" s="12" t="s">
        <v>268</v>
      </c>
      <c r="B170" t="str">
        <f t="shared" si="4"/>
        <v xml:space="preserve"> "TELEFONISTA DE PABX" </v>
      </c>
    </row>
    <row r="171" spans="1:2" x14ac:dyDescent="0.3">
      <c r="A171" s="12" t="s">
        <v>269</v>
      </c>
      <c r="B171" t="str">
        <f t="shared" si="4"/>
        <v xml:space="preserve"> "ASSESSOR ADMINISTRATIVO" </v>
      </c>
    </row>
    <row r="172" spans="1:2" x14ac:dyDescent="0.3">
      <c r="A172" s="12" t="s">
        <v>270</v>
      </c>
      <c r="B172" t="str">
        <f t="shared" si="4"/>
        <v xml:space="preserve"> "AUXILIAR DE DEPARTAMENTO" </v>
      </c>
    </row>
    <row r="173" spans="1:2" x14ac:dyDescent="0.3">
      <c r="A173" s="12" t="s">
        <v>271</v>
      </c>
      <c r="B173" t="str">
        <f t="shared" si="4"/>
        <v xml:space="preserve"> "AUXILIAR DE LIMPEZA" </v>
      </c>
    </row>
    <row r="174" spans="1:2" x14ac:dyDescent="0.3">
      <c r="A174" s="12" t="s">
        <v>272</v>
      </c>
      <c r="B174" t="str">
        <f t="shared" si="4"/>
        <v xml:space="preserve"> "AUXILIAR OPERACIONAL DE SERVIÇOS" </v>
      </c>
    </row>
    <row r="175" spans="1:2" x14ac:dyDescent="0.3">
      <c r="A175" s="12" t="s">
        <v>273</v>
      </c>
      <c r="B175" t="str">
        <f t="shared" si="4"/>
        <v xml:space="preserve"> "AGENTE DE RECREAÇÃO" </v>
      </c>
    </row>
    <row r="176" spans="1:2" x14ac:dyDescent="0.3">
      <c r="A176" s="12" t="s">
        <v>274</v>
      </c>
      <c r="B176" t="str">
        <f t="shared" si="4"/>
        <v xml:space="preserve"> "PROFESSOR" </v>
      </c>
    </row>
    <row r="177" spans="1:2" x14ac:dyDescent="0.3">
      <c r="A177" s="12" t="s">
        <v>275</v>
      </c>
      <c r="B177" t="str">
        <f t="shared" si="4"/>
        <v xml:space="preserve"> "ESCRIVAO DA FAZENDA PUBLICA E CIVEL 3 ENT" </v>
      </c>
    </row>
    <row r="178" spans="1:2" x14ac:dyDescent="0.3">
      <c r="A178" s="12" t="s">
        <v>276</v>
      </c>
      <c r="B178" t="str">
        <f t="shared" si="4"/>
        <v xml:space="preserve"> "TRABALHADOR BRAÇAL" </v>
      </c>
    </row>
    <row r="179" spans="1:2" x14ac:dyDescent="0.3">
      <c r="A179" s="12" t="s">
        <v>277</v>
      </c>
      <c r="B179" t="str">
        <f t="shared" si="4"/>
        <v xml:space="preserve"> "SERVENTE" </v>
      </c>
    </row>
    <row r="180" spans="1:2" x14ac:dyDescent="0.3">
      <c r="A180" s="12" t="s">
        <v>278</v>
      </c>
      <c r="B180" t="str">
        <f t="shared" si="4"/>
        <v xml:space="preserve"> "TRABALHADOR DE LIMPEZA URBANA" </v>
      </c>
    </row>
    <row r="181" spans="1:2" x14ac:dyDescent="0.3">
      <c r="A181" s="12" t="s">
        <v>279</v>
      </c>
      <c r="B181" t="str">
        <f t="shared" si="4"/>
        <v xml:space="preserve"> "OFICIAL DE REGISTRO CIVIL-OFICIALIZADO-O II" </v>
      </c>
    </row>
    <row r="182" spans="1:2" x14ac:dyDescent="0.3">
      <c r="A182" s="12" t="s">
        <v>280</v>
      </c>
      <c r="B182" t="str">
        <f t="shared" si="4"/>
        <v xml:space="preserve"> "PSICOLOGA" </v>
      </c>
    </row>
    <row r="183" spans="1:2" x14ac:dyDescent="0.3">
      <c r="A183" s="12" t="s">
        <v>281</v>
      </c>
      <c r="B183" t="str">
        <f t="shared" si="4"/>
        <v xml:space="preserve"> "ANALISTA ADMINISTRATIVO" </v>
      </c>
    </row>
    <row r="184" spans="1:2" x14ac:dyDescent="0.3">
      <c r="A184" s="12" t="s">
        <v>282</v>
      </c>
      <c r="B184" t="str">
        <f t="shared" si="4"/>
        <v xml:space="preserve"> "COMISSARIO DE VIGILANCIA DE MENORES" </v>
      </c>
    </row>
    <row r="185" spans="1:2" x14ac:dyDescent="0.3">
      <c r="A185" s="12" t="s">
        <v>283</v>
      </c>
      <c r="B185" t="str">
        <f t="shared" si="4"/>
        <v xml:space="preserve"> "PROFESSOR I" </v>
      </c>
    </row>
    <row r="186" spans="1:2" x14ac:dyDescent="0.3">
      <c r="A186" s="12" t="s">
        <v>284</v>
      </c>
      <c r="B186" t="str">
        <f t="shared" si="4"/>
        <v xml:space="preserve"> "TÉCNICO CONTÁBIL VII" </v>
      </c>
    </row>
    <row r="187" spans="1:2" x14ac:dyDescent="0.3">
      <c r="A187" s="12" t="s">
        <v>285</v>
      </c>
      <c r="B187" t="str">
        <f t="shared" si="4"/>
        <v xml:space="preserve"> "ANALISTA DE SUPORTE TÉCNICO SUPERIOR" </v>
      </c>
    </row>
    <row r="188" spans="1:2" x14ac:dyDescent="0.3">
      <c r="A188" s="12" t="s">
        <v>286</v>
      </c>
      <c r="B188" t="str">
        <f t="shared" si="4"/>
        <v xml:space="preserve"> "AGENTE DE SERVICO ADMINISTRATIVO" </v>
      </c>
    </row>
    <row r="189" spans="1:2" x14ac:dyDescent="0.3">
      <c r="A189" s="12" t="s">
        <v>287</v>
      </c>
      <c r="B189" t="str">
        <f t="shared" si="4"/>
        <v xml:space="preserve"> "MONITOR DE EDUCAÇÃO NÍVEL 1" </v>
      </c>
    </row>
    <row r="190" spans="1:2" x14ac:dyDescent="0.3">
      <c r="A190" s="12" t="s">
        <v>288</v>
      </c>
      <c r="B190" t="str">
        <f t="shared" si="4"/>
        <v xml:space="preserve"> "AGENTE OPERACIONAL" </v>
      </c>
    </row>
    <row r="191" spans="1:2" x14ac:dyDescent="0.3">
      <c r="A191" s="12" t="s">
        <v>289</v>
      </c>
      <c r="B191" t="str">
        <f t="shared" si="4"/>
        <v xml:space="preserve"> "PSICÓLOGO" </v>
      </c>
    </row>
    <row r="192" spans="1:2" x14ac:dyDescent="0.3">
      <c r="A192" s="12" t="s">
        <v>290</v>
      </c>
      <c r="B192" t="str">
        <f t="shared" si="4"/>
        <v xml:space="preserve"> "AGENTE DE HIGIENE E ALIMENTAÇÃO" </v>
      </c>
    </row>
    <row r="193" spans="1:2" x14ac:dyDescent="0.3">
      <c r="A193" s="12" t="s">
        <v>291</v>
      </c>
      <c r="B193" t="str">
        <f t="shared" si="4"/>
        <v xml:space="preserve"> "AGENTE LEGISLATIVO" </v>
      </c>
    </row>
    <row r="194" spans="1:2" x14ac:dyDescent="0.3">
      <c r="A194" s="12" t="s">
        <v>292</v>
      </c>
      <c r="B194" t="str">
        <f t="shared" si="4"/>
        <v xml:space="preserve"> "RECEPCIONISTA NIVEL II" </v>
      </c>
    </row>
    <row r="195" spans="1:2" x14ac:dyDescent="0.3">
      <c r="A195" s="12" t="s">
        <v>293</v>
      </c>
      <c r="B195" t="str">
        <f t="shared" si="4"/>
        <v xml:space="preserve"> "FISCAL DE TRANSPORTE COLETIVO" </v>
      </c>
    </row>
    <row r="196" spans="1:2" x14ac:dyDescent="0.3">
      <c r="A196" s="12" t="s">
        <v>294</v>
      </c>
      <c r="B196" t="str">
        <f t="shared" si="4"/>
        <v xml:space="preserve"> "ANALISTA DE GESTÃO GOVERNAMENTAL" </v>
      </c>
    </row>
    <row r="197" spans="1:2" x14ac:dyDescent="0.3">
      <c r="A197" s="12" t="s">
        <v>295</v>
      </c>
      <c r="B197" t="str">
        <f t="shared" si="4"/>
        <v xml:space="preserve"> "AGENTE EDUCATIVO" </v>
      </c>
    </row>
    <row r="198" spans="1:2" x14ac:dyDescent="0.3">
      <c r="A198" s="12" t="s">
        <v>296</v>
      </c>
      <c r="B198" t="str">
        <f t="shared" si="4"/>
        <v xml:space="preserve"> "AGENTE PENITENCIÁRIO" </v>
      </c>
    </row>
    <row r="199" spans="1:2" x14ac:dyDescent="0.3">
      <c r="A199" s="12" t="s">
        <v>297</v>
      </c>
      <c r="B199" t="str">
        <f t="shared" si="4"/>
        <v xml:space="preserve"> "TECNICO EM ENFERMAGEM" </v>
      </c>
    </row>
    <row r="200" spans="1:2" x14ac:dyDescent="0.3">
      <c r="A200" s="12" t="s">
        <v>298</v>
      </c>
      <c r="B200" t="str">
        <f t="shared" si="4"/>
        <v xml:space="preserve"> "RECEPCIONISTA/TELEFONISTA" </v>
      </c>
    </row>
    <row r="201" spans="1:2" x14ac:dyDescent="0.3">
      <c r="A201" s="12" t="s">
        <v>299</v>
      </c>
      <c r="B201" t="str">
        <f t="shared" si="4"/>
        <v xml:space="preserve"> "GUARDA MUNICIPAL" </v>
      </c>
    </row>
    <row r="202" spans="1:2" x14ac:dyDescent="0.3">
      <c r="A202" s="12" t="s">
        <v>300</v>
      </c>
      <c r="B202" t="str">
        <f t="shared" si="4"/>
        <v xml:space="preserve"> "MECANICO DE MAQUINAS" </v>
      </c>
    </row>
    <row r="203" spans="1:2" x14ac:dyDescent="0.3">
      <c r="A203" s="12" t="s">
        <v>301</v>
      </c>
      <c r="B203" t="str">
        <f t="shared" si="4"/>
        <v xml:space="preserve"> "AUXILIAR DE SERVICOS ADMINISTRATIVOS" </v>
      </c>
    </row>
    <row r="204" spans="1:2" x14ac:dyDescent="0.3">
      <c r="A204" s="12" t="s">
        <v>302</v>
      </c>
      <c r="B204" t="str">
        <f t="shared" si="4"/>
        <v xml:space="preserve"> "AGENTE EDUCACIONAL" </v>
      </c>
    </row>
    <row r="205" spans="1:2" x14ac:dyDescent="0.3">
      <c r="A205" s="12" t="s">
        <v>303</v>
      </c>
      <c r="B205" t="str">
        <f t="shared" si="4"/>
        <v xml:space="preserve"> "DELEGADO (A)" </v>
      </c>
    </row>
    <row r="206" spans="1:2" x14ac:dyDescent="0.3">
      <c r="A206" s="12" t="s">
        <v>304</v>
      </c>
      <c r="B206" t="str">
        <f t="shared" si="4"/>
        <v xml:space="preserve"> "ASSISTENTE TECNICO PROFISSIONAL" </v>
      </c>
    </row>
    <row r="207" spans="1:2" x14ac:dyDescent="0.3">
      <c r="A207" s="12" t="s">
        <v>305</v>
      </c>
      <c r="B207" t="str">
        <f t="shared" si="4"/>
        <v xml:space="preserve"> "FISCAL DE TRIBUTOS MUNICIPAL" </v>
      </c>
    </row>
    <row r="208" spans="1:2" x14ac:dyDescent="0.3">
      <c r="A208" s="12" t="s">
        <v>306</v>
      </c>
      <c r="B208" t="str">
        <f t="shared" si="4"/>
        <v xml:space="preserve"> "AGENTE DE COMBATE AS ENDEMIAS" </v>
      </c>
    </row>
    <row r="209" spans="1:2" x14ac:dyDescent="0.3">
      <c r="A209" s="12" t="s">
        <v>307</v>
      </c>
      <c r="B209" t="str">
        <f t="shared" si="4"/>
        <v xml:space="preserve"> "AUXILIAR DE ATIVIDADES EDUCATIVAS I" </v>
      </c>
    </row>
    <row r="210" spans="1:2" x14ac:dyDescent="0.3">
      <c r="A210" s="12" t="s">
        <v>308</v>
      </c>
      <c r="B210" t="str">
        <f t="shared" si="4"/>
        <v xml:space="preserve"> "AGENTE DE SEGURANÇA PRISIONAL" </v>
      </c>
    </row>
    <row r="211" spans="1:2" x14ac:dyDescent="0.3">
      <c r="A211" s="12" t="s">
        <v>309</v>
      </c>
      <c r="B211" t="str">
        <f t="shared" si="4"/>
        <v xml:space="preserve"> "AUXILIAR DE SERVICO SOCIAL" </v>
      </c>
    </row>
    <row r="212" spans="1:2" x14ac:dyDescent="0.3">
      <c r="A212" s="12" t="s">
        <v>310</v>
      </c>
      <c r="B212" t="str">
        <f t="shared" si="4"/>
        <v xml:space="preserve"> "AGENTE DE MANUTENÇÃO MECANICA" </v>
      </c>
    </row>
    <row r="213" spans="1:2" x14ac:dyDescent="0.3">
      <c r="A213" s="12" t="s">
        <v>311</v>
      </c>
      <c r="B213" t="str">
        <f t="shared" si="4"/>
        <v xml:space="preserve"> "PROFESSORA" </v>
      </c>
    </row>
    <row r="214" spans="1:2" x14ac:dyDescent="0.3">
      <c r="A214" s="12" t="s">
        <v>312</v>
      </c>
      <c r="B214" t="str">
        <f t="shared" si="4"/>
        <v xml:space="preserve"> "ANALISTA DE LICITACAO" </v>
      </c>
    </row>
    <row r="215" spans="1:2" x14ac:dyDescent="0.3">
      <c r="A215" s="12" t="s">
        <v>313</v>
      </c>
      <c r="B215" t="str">
        <f t="shared" si="4"/>
        <v xml:space="preserve"> "GUARDA CIVIL MUNICIPAL"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depara_tjrn_duas_colunas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Duarte</dc:creator>
  <cp:lastModifiedBy>Felipe Duarte</cp:lastModifiedBy>
  <dcterms:created xsi:type="dcterms:W3CDTF">2025-09-25T22:10:28Z</dcterms:created>
  <dcterms:modified xsi:type="dcterms:W3CDTF">2025-10-24T11:20:11Z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2025-09-25T22:10:28Z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564efc33-6188-465a-ad20-28f357253d9e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